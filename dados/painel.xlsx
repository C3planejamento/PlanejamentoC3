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fabianasiqueira_prestserv_petrobras_com_br/Documents/Área de Trabalho/C3 Engenharia/7. Gestão SAMC/"/>
    </mc:Choice>
  </mc:AlternateContent>
  <xr:revisionPtr revIDLastSave="3385" documentId="13_ncr:1_{39A93BA3-9D3C-4159-B24C-2D2F9E6800FB}" xr6:coauthVersionLast="47" xr6:coauthVersionMax="47" xr10:uidLastSave="{E5623772-6762-4151-B3AC-318718DC8E52}"/>
  <bookViews>
    <workbookView xWindow="-110" yWindow="-110" windowWidth="19420" windowHeight="10300" firstSheet="2" activeTab="2" xr2:uid="{A38ADF73-DA9C-48BD-9F66-5A0A45FEE6ED}"/>
  </bookViews>
  <sheets>
    <sheet name="Resumo Orçamento" sheetId="26" state="hidden" r:id="rId1"/>
    <sheet name="Resumo Andamento" sheetId="31" state="hidden" r:id="rId2"/>
    <sheet name="Base dados" sheetId="1" r:id="rId3"/>
    <sheet name="Time line " sheetId="30" state="hidden" r:id="rId4"/>
    <sheet name="SAMC" sheetId="33" r:id="rId5"/>
    <sheet name="Time line  (2)" sheetId="32" state="hidden" r:id="rId6"/>
    <sheet name="Dashboards" sheetId="6" state="hidden" r:id="rId7"/>
  </sheets>
  <externalReferences>
    <externalReference r:id="rId8"/>
  </externalReferences>
  <definedNames>
    <definedName name="\0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#REF!</definedName>
    <definedName name="\l">#REF!</definedName>
    <definedName name="\m">#N/A</definedName>
    <definedName name="\n">#REF!</definedName>
    <definedName name="\O">#REF!</definedName>
    <definedName name="\p">#N/A</definedName>
    <definedName name="\q">#N/A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z">#N/A</definedName>
    <definedName name="_">#REF!</definedName>
    <definedName name="__________________OUT98" localSheetId="3" hidden="1">{#N/A,#N/A,TRUE,"Serviços"}</definedName>
    <definedName name="__________________OUT98" localSheetId="5" hidden="1">{#N/A,#N/A,TRUE,"Serviços"}</definedName>
    <definedName name="__________________OUT98" hidden="1">{#N/A,#N/A,TRUE,"Serviços"}</definedName>
    <definedName name="________________OUT98" localSheetId="3" hidden="1">{#N/A,#N/A,TRUE,"Serviços"}</definedName>
    <definedName name="________________OUT98" localSheetId="5" hidden="1">{#N/A,#N/A,TRUE,"Serviços"}</definedName>
    <definedName name="________________OUT98" hidden="1">{#N/A,#N/A,TRUE,"Serviços"}</definedName>
    <definedName name="_______________OUT98" localSheetId="3" hidden="1">{#N/A,#N/A,TRUE,"Serviços"}</definedName>
    <definedName name="_______________OUT98" localSheetId="5" hidden="1">{#N/A,#N/A,TRUE,"Serviços"}</definedName>
    <definedName name="_______________OUT98" hidden="1">{#N/A,#N/A,TRUE,"Serviços"}</definedName>
    <definedName name="______________OUT98" localSheetId="3" hidden="1">{#N/A,#N/A,TRUE,"Serviços"}</definedName>
    <definedName name="______________OUT98" localSheetId="5" hidden="1">{#N/A,#N/A,TRUE,"Serviços"}</definedName>
    <definedName name="______________OUT98" hidden="1">{#N/A,#N/A,TRUE,"Serviços"}</definedName>
    <definedName name="____________OUT98" localSheetId="3" hidden="1">{#N/A,#N/A,TRUE,"Serviços"}</definedName>
    <definedName name="____________OUT98" localSheetId="5" hidden="1">{#N/A,#N/A,TRUE,"Serviços"}</definedName>
    <definedName name="____________OUT98" hidden="1">{#N/A,#N/A,TRUE,"Serviços"}</definedName>
    <definedName name="___________OUT98" localSheetId="3" hidden="1">{#N/A,#N/A,TRUE,"Serviços"}</definedName>
    <definedName name="___________OUT98" localSheetId="5" hidden="1">{#N/A,#N/A,TRUE,"Serviços"}</definedName>
    <definedName name="___________OUT98" hidden="1">{#N/A,#N/A,TRUE,"Serviços"}</definedName>
    <definedName name="__________OUT98" localSheetId="3" hidden="1">{#N/A,#N/A,TRUE,"Serviços"}</definedName>
    <definedName name="__________OUT98" localSheetId="5" hidden="1">{#N/A,#N/A,TRUE,"Serviços"}</definedName>
    <definedName name="__________OUT98" hidden="1">{#N/A,#N/A,TRUE,"Serviços"}</definedName>
    <definedName name="_________ago1" localSheetId="3" hidden="1">{"'gráf jan00'!$A$1:$AK$41"}</definedName>
    <definedName name="_________ago1" localSheetId="5" hidden="1">{"'gráf jan00'!$A$1:$AK$41"}</definedName>
    <definedName name="_________ago1" hidden="1">{"'gráf jan00'!$A$1:$AK$41"}</definedName>
    <definedName name="_________ago10" localSheetId="3" hidden="1">{"'gráf jan00'!$A$1:$AK$41"}</definedName>
    <definedName name="_________ago10" localSheetId="5" hidden="1">{"'gráf jan00'!$A$1:$AK$41"}</definedName>
    <definedName name="_________ago10" hidden="1">{"'gráf jan00'!$A$1:$AK$41"}</definedName>
    <definedName name="_________ago2" localSheetId="3" hidden="1">{"'gráf jan00'!$A$1:$AK$41"}</definedName>
    <definedName name="_________ago2" localSheetId="5" hidden="1">{"'gráf jan00'!$A$1:$AK$41"}</definedName>
    <definedName name="_________ago2" hidden="1">{"'gráf jan00'!$A$1:$AK$41"}</definedName>
    <definedName name="_________ago3" localSheetId="3" hidden="1">{"'gráf jan00'!$A$1:$AK$41"}</definedName>
    <definedName name="_________ago3" localSheetId="5" hidden="1">{"'gráf jan00'!$A$1:$AK$41"}</definedName>
    <definedName name="_________ago3" hidden="1">{"'gráf jan00'!$A$1:$AK$41"}</definedName>
    <definedName name="_________ago4" localSheetId="3" hidden="1">{"'gráf jan00'!$A$1:$AK$41"}</definedName>
    <definedName name="_________ago4" localSheetId="5" hidden="1">{"'gráf jan00'!$A$1:$AK$41"}</definedName>
    <definedName name="_________ago4" hidden="1">{"'gráf jan00'!$A$1:$AK$41"}</definedName>
    <definedName name="_________ago5" localSheetId="3" hidden="1">{"'gráf jan00'!$A$1:$AK$41"}</definedName>
    <definedName name="_________ago5" localSheetId="5" hidden="1">{"'gráf jan00'!$A$1:$AK$41"}</definedName>
    <definedName name="_________ago5" hidden="1">{"'gráf jan00'!$A$1:$AK$41"}</definedName>
    <definedName name="_________ago6" localSheetId="3" hidden="1">{"'gráf jan00'!$A$1:$AK$41"}</definedName>
    <definedName name="_________ago6" localSheetId="5" hidden="1">{"'gráf jan00'!$A$1:$AK$41"}</definedName>
    <definedName name="_________ago6" hidden="1">{"'gráf jan00'!$A$1:$AK$41"}</definedName>
    <definedName name="_________ago7" localSheetId="3" hidden="1">{"'gráf jan00'!$A$1:$AK$41"}</definedName>
    <definedName name="_________ago7" localSheetId="5" hidden="1">{"'gráf jan00'!$A$1:$AK$41"}</definedName>
    <definedName name="_________ago7" hidden="1">{"'gráf jan00'!$A$1:$AK$41"}</definedName>
    <definedName name="_________ago8" localSheetId="3" hidden="1">{"'gráf jan00'!$A$1:$AK$41"}</definedName>
    <definedName name="_________ago8" localSheetId="5" hidden="1">{"'gráf jan00'!$A$1:$AK$41"}</definedName>
    <definedName name="_________ago8" hidden="1">{"'gráf jan00'!$A$1:$AK$41"}</definedName>
    <definedName name="_________ago9" localSheetId="3" hidden="1">{"'gráf jan00'!$A$1:$AK$41"}</definedName>
    <definedName name="_________ago9" localSheetId="5" hidden="1">{"'gráf jan00'!$A$1:$AK$41"}</definedName>
    <definedName name="_________ago9" hidden="1">{"'gráf jan00'!$A$1:$AK$41"}</definedName>
    <definedName name="_________efc10" localSheetId="3" hidden="1">{"'RR'!$A$2:$E$81"}</definedName>
    <definedName name="_________efc10" localSheetId="5" hidden="1">{"'RR'!$A$2:$E$81"}</definedName>
    <definedName name="_________efc10" hidden="1">{"'RR'!$A$2:$E$81"}</definedName>
    <definedName name="_________EFC2" localSheetId="3" hidden="1">{"'RR'!$A$2:$E$81"}</definedName>
    <definedName name="_________EFC2" localSheetId="5" hidden="1">{"'RR'!$A$2:$E$81"}</definedName>
    <definedName name="_________EFC2" hidden="1">{"'RR'!$A$2:$E$81"}</definedName>
    <definedName name="_________EFC3" localSheetId="3" hidden="1">{"'RR'!$A$2:$E$81"}</definedName>
    <definedName name="_________EFC3" localSheetId="5" hidden="1">{"'RR'!$A$2:$E$81"}</definedName>
    <definedName name="_________EFC3" hidden="1">{"'RR'!$A$2:$E$81"}</definedName>
    <definedName name="_________EFC4" localSheetId="3" hidden="1">{"'RR'!$A$2:$E$81"}</definedName>
    <definedName name="_________EFC4" localSheetId="5" hidden="1">{"'RR'!$A$2:$E$81"}</definedName>
    <definedName name="_________EFC4" hidden="1">{"'RR'!$A$2:$E$81"}</definedName>
    <definedName name="_________n2" localSheetId="3" hidden="1">{#N/A,#N/A,FALSE,"PCOL"}</definedName>
    <definedName name="_________n2" localSheetId="5" hidden="1">{#N/A,#N/A,FALSE,"PCOL"}</definedName>
    <definedName name="_________n2" hidden="1">{#N/A,#N/A,FALSE,"PCOL"}</definedName>
    <definedName name="_________OUT98" localSheetId="3" hidden="1">{#N/A,#N/A,TRUE,"Serviços"}</definedName>
    <definedName name="_________OUT98" localSheetId="5" hidden="1">{#N/A,#N/A,TRUE,"Serviços"}</definedName>
    <definedName name="_________OUT98" hidden="1">{#N/A,#N/A,TRUE,"Serviços"}</definedName>
    <definedName name="_________r" localSheetId="3" hidden="1">{#N/A,#N/A,FALSE,"PCOL"}</definedName>
    <definedName name="_________r" localSheetId="5" hidden="1">{#N/A,#N/A,FALSE,"PCOL"}</definedName>
    <definedName name="_________r" hidden="1">{#N/A,#N/A,FALSE,"PCOL"}</definedName>
    <definedName name="________ago99999" localSheetId="3" hidden="1">{"'gráf jan00'!$A$1:$AK$41"}</definedName>
    <definedName name="________ago99999" localSheetId="5" hidden="1">{"'gráf jan00'!$A$1:$AK$41"}</definedName>
    <definedName name="________ago99999" hidden="1">{"'gráf jan00'!$A$1:$AK$41"}</definedName>
    <definedName name="________DEF2" localSheetId="3" hidden="1">{#N/A,#N/A,FALSE,"DEF1";#N/A,#N/A,FALSE,"DEF2";#N/A,#N/A,FALSE,"DEF3"}</definedName>
    <definedName name="________DEF2" localSheetId="5" hidden="1">{#N/A,#N/A,FALSE,"DEF1";#N/A,#N/A,FALSE,"DEF2";#N/A,#N/A,FALSE,"DEF3"}</definedName>
    <definedName name="________DEF2" hidden="1">{#N/A,#N/A,FALSE,"DEF1";#N/A,#N/A,FALSE,"DEF2";#N/A,#N/A,FALSE,"DEF3"}</definedName>
    <definedName name="________DEF3" localSheetId="3" hidden="1">{#N/A,#N/A,FALSE,"DEF1";#N/A,#N/A,FALSE,"DEF2";#N/A,#N/A,FALSE,"DEF3"}</definedName>
    <definedName name="________DEF3" localSheetId="5" hidden="1">{#N/A,#N/A,FALSE,"DEF1";#N/A,#N/A,FALSE,"DEF2";#N/A,#N/A,FALSE,"DEF3"}</definedName>
    <definedName name="________DEF3" hidden="1">{#N/A,#N/A,FALSE,"DEF1";#N/A,#N/A,FALSE,"DEF2";#N/A,#N/A,FALSE,"DEF3"}</definedName>
    <definedName name="________ffp16" localSheetId="3" hidden="1">{"'gráf jan00'!$A$1:$AK$41"}</definedName>
    <definedName name="________ffp16" localSheetId="5" hidden="1">{"'gráf jan00'!$A$1:$AK$41"}</definedName>
    <definedName name="________ffp16" hidden="1">{"'gráf jan00'!$A$1:$AK$41"}</definedName>
    <definedName name="________ffp4589" localSheetId="3" hidden="1">{"'gráf jan00'!$A$1:$AK$41"}</definedName>
    <definedName name="________ffp4589" localSheetId="5" hidden="1">{"'gráf jan00'!$A$1:$AK$41"}</definedName>
    <definedName name="________ffp4589" hidden="1">{"'gráf jan00'!$A$1:$AK$41"}</definedName>
    <definedName name="________jun04" localSheetId="3" hidden="1">{"'gráf jan00'!$A$1:$AK$41"}</definedName>
    <definedName name="________jun04" localSheetId="5" hidden="1">{"'gráf jan00'!$A$1:$AK$41"}</definedName>
    <definedName name="________jun04" hidden="1">{"'gráf jan00'!$A$1:$AK$41"}</definedName>
    <definedName name="________MOA1" localSheetId="3" hidden="1">{#N/A,#N/A,FALSE,"DEF1";#N/A,#N/A,FALSE,"DEF2";#N/A,#N/A,FALSE,"DEF3"}</definedName>
    <definedName name="________MOA1" localSheetId="5" hidden="1">{#N/A,#N/A,FALSE,"DEF1";#N/A,#N/A,FALSE,"DEF2";#N/A,#N/A,FALSE,"DEF3"}</definedName>
    <definedName name="________MOA1" hidden="1">{#N/A,#N/A,FALSE,"DEF1";#N/A,#N/A,FALSE,"DEF2";#N/A,#N/A,FALSE,"DEF3"}</definedName>
    <definedName name="________MOA2" localSheetId="3" hidden="1">{#N/A,#N/A,FALSE,"DEF1";#N/A,#N/A,FALSE,"DEF2";#N/A,#N/A,FALSE,"DEF3"}</definedName>
    <definedName name="________MOA2" localSheetId="5" hidden="1">{#N/A,#N/A,FALSE,"DEF1";#N/A,#N/A,FALSE,"DEF2";#N/A,#N/A,FALSE,"DEF3"}</definedName>
    <definedName name="________MOA2" hidden="1">{#N/A,#N/A,FALSE,"DEF1";#N/A,#N/A,FALSE,"DEF2";#N/A,#N/A,FALSE,"DEF3"}</definedName>
    <definedName name="________OUT98" localSheetId="3" hidden="1">{#N/A,#N/A,TRUE,"Serviços"}</definedName>
    <definedName name="________OUT98" localSheetId="5" hidden="1">{#N/A,#N/A,TRUE,"Serviços"}</definedName>
    <definedName name="________OUT98" hidden="1">{#N/A,#N/A,TRUE,"Serviços"}</definedName>
    <definedName name="________PN10" localSheetId="3" hidden="1">{"'gráf jan00'!$A$1:$AK$41"}</definedName>
    <definedName name="________PN10" localSheetId="5" hidden="1">{"'gráf jan00'!$A$1:$AK$41"}</definedName>
    <definedName name="________PN10" hidden="1">{"'gráf jan00'!$A$1:$AK$41"}</definedName>
    <definedName name="_______ago1" localSheetId="3" hidden="1">{"'gráf jan00'!$A$1:$AK$41"}</definedName>
    <definedName name="_______ago1" localSheetId="5" hidden="1">{"'gráf jan00'!$A$1:$AK$41"}</definedName>
    <definedName name="_______ago1" hidden="1">{"'gráf jan00'!$A$1:$AK$41"}</definedName>
    <definedName name="_______ago10" localSheetId="3" hidden="1">{"'gráf jan00'!$A$1:$AK$41"}</definedName>
    <definedName name="_______ago10" localSheetId="5" hidden="1">{"'gráf jan00'!$A$1:$AK$41"}</definedName>
    <definedName name="_______ago10" hidden="1">{"'gráf jan00'!$A$1:$AK$41"}</definedName>
    <definedName name="_______ago2" localSheetId="3" hidden="1">{"'gráf jan00'!$A$1:$AK$41"}</definedName>
    <definedName name="_______ago2" localSheetId="5" hidden="1">{"'gráf jan00'!$A$1:$AK$41"}</definedName>
    <definedName name="_______ago2" hidden="1">{"'gráf jan00'!$A$1:$AK$41"}</definedName>
    <definedName name="_______ago3" localSheetId="3" hidden="1">{"'gráf jan00'!$A$1:$AK$41"}</definedName>
    <definedName name="_______ago3" localSheetId="5" hidden="1">{"'gráf jan00'!$A$1:$AK$41"}</definedName>
    <definedName name="_______ago3" hidden="1">{"'gráf jan00'!$A$1:$AK$41"}</definedName>
    <definedName name="_______ago4" localSheetId="3" hidden="1">{"'gráf jan00'!$A$1:$AK$41"}</definedName>
    <definedName name="_______ago4" localSheetId="5" hidden="1">{"'gráf jan00'!$A$1:$AK$41"}</definedName>
    <definedName name="_______ago4" hidden="1">{"'gráf jan00'!$A$1:$AK$41"}</definedName>
    <definedName name="_______ago5" localSheetId="3" hidden="1">{"'gráf jan00'!$A$1:$AK$41"}</definedName>
    <definedName name="_______ago5" localSheetId="5" hidden="1">{"'gráf jan00'!$A$1:$AK$41"}</definedName>
    <definedName name="_______ago5" hidden="1">{"'gráf jan00'!$A$1:$AK$41"}</definedName>
    <definedName name="_______ago6" localSheetId="3" hidden="1">{"'gráf jan00'!$A$1:$AK$41"}</definedName>
    <definedName name="_______ago6" localSheetId="5" hidden="1">{"'gráf jan00'!$A$1:$AK$41"}</definedName>
    <definedName name="_______ago6" hidden="1">{"'gráf jan00'!$A$1:$AK$41"}</definedName>
    <definedName name="_______ago7" localSheetId="3" hidden="1">{"'gráf jan00'!$A$1:$AK$41"}</definedName>
    <definedName name="_______ago7" localSheetId="5" hidden="1">{"'gráf jan00'!$A$1:$AK$41"}</definedName>
    <definedName name="_______ago7" hidden="1">{"'gráf jan00'!$A$1:$AK$41"}</definedName>
    <definedName name="_______ago8" localSheetId="3" hidden="1">{"'gráf jan00'!$A$1:$AK$41"}</definedName>
    <definedName name="_______ago8" localSheetId="5" hidden="1">{"'gráf jan00'!$A$1:$AK$41"}</definedName>
    <definedName name="_______ago8" hidden="1">{"'gráf jan00'!$A$1:$AK$41"}</definedName>
    <definedName name="_______ago9" localSheetId="3" hidden="1">{"'gráf jan00'!$A$1:$AK$41"}</definedName>
    <definedName name="_______ago9" localSheetId="5" hidden="1">{"'gráf jan00'!$A$1:$AK$41"}</definedName>
    <definedName name="_______ago9" hidden="1">{"'gráf jan00'!$A$1:$AK$41"}</definedName>
    <definedName name="_______efc10" localSheetId="3" hidden="1">{"'RR'!$A$2:$E$81"}</definedName>
    <definedName name="_______efc10" localSheetId="5" hidden="1">{"'RR'!$A$2:$E$81"}</definedName>
    <definedName name="_______efc10" hidden="1">{"'RR'!$A$2:$E$81"}</definedName>
    <definedName name="_______EFC2" localSheetId="3" hidden="1">{"'RR'!$A$2:$E$81"}</definedName>
    <definedName name="_______EFC2" localSheetId="5" hidden="1">{"'RR'!$A$2:$E$81"}</definedName>
    <definedName name="_______EFC2" hidden="1">{"'RR'!$A$2:$E$81"}</definedName>
    <definedName name="_______EFC3" localSheetId="3" hidden="1">{"'RR'!$A$2:$E$81"}</definedName>
    <definedName name="_______EFC3" localSheetId="5" hidden="1">{"'RR'!$A$2:$E$81"}</definedName>
    <definedName name="_______EFC3" hidden="1">{"'RR'!$A$2:$E$81"}</definedName>
    <definedName name="_______EFC4" localSheetId="3" hidden="1">{"'RR'!$A$2:$E$81"}</definedName>
    <definedName name="_______EFC4" localSheetId="5" hidden="1">{"'RR'!$A$2:$E$81"}</definedName>
    <definedName name="_______EFC4" hidden="1">{"'RR'!$A$2:$E$81"}</definedName>
    <definedName name="_______F99000">#REF!</definedName>
    <definedName name="_______n2" localSheetId="3" hidden="1">{#N/A,#N/A,FALSE,"PCOL"}</definedName>
    <definedName name="_______n2" localSheetId="5" hidden="1">{#N/A,#N/A,FALSE,"PCOL"}</definedName>
    <definedName name="_______n2" hidden="1">{#N/A,#N/A,FALSE,"PCOL"}</definedName>
    <definedName name="_______OUT98" localSheetId="3" hidden="1">{#N/A,#N/A,TRUE,"Serviços"}</definedName>
    <definedName name="_______OUT98" localSheetId="5" hidden="1">{#N/A,#N/A,TRUE,"Serviços"}</definedName>
    <definedName name="_______OUT98" hidden="1">{#N/A,#N/A,TRUE,"Serviços"}</definedName>
    <definedName name="_______r" localSheetId="3" hidden="1">{#N/A,#N/A,FALSE,"PCOL"}</definedName>
    <definedName name="_______r" localSheetId="5" hidden="1">{#N/A,#N/A,FALSE,"PCOL"}</definedName>
    <definedName name="_______r" hidden="1">{#N/A,#N/A,FALSE,"PCOL"}</definedName>
    <definedName name="______ago1" localSheetId="3" hidden="1">{"'gráf jan00'!$A$1:$AK$41"}</definedName>
    <definedName name="______ago1" localSheetId="5" hidden="1">{"'gráf jan00'!$A$1:$AK$41"}</definedName>
    <definedName name="______ago1" hidden="1">{"'gráf jan00'!$A$1:$AK$41"}</definedName>
    <definedName name="______ago10" localSheetId="3" hidden="1">{"'gráf jan00'!$A$1:$AK$41"}</definedName>
    <definedName name="______ago10" localSheetId="5" hidden="1">{"'gráf jan00'!$A$1:$AK$41"}</definedName>
    <definedName name="______ago10" hidden="1">{"'gráf jan00'!$A$1:$AK$41"}</definedName>
    <definedName name="______ago2" localSheetId="3" hidden="1">{"'gráf jan00'!$A$1:$AK$41"}</definedName>
    <definedName name="______ago2" localSheetId="5" hidden="1">{"'gráf jan00'!$A$1:$AK$41"}</definedName>
    <definedName name="______ago2" hidden="1">{"'gráf jan00'!$A$1:$AK$41"}</definedName>
    <definedName name="______ago3" localSheetId="3" hidden="1">{"'gráf jan00'!$A$1:$AK$41"}</definedName>
    <definedName name="______ago3" localSheetId="5" hidden="1">{"'gráf jan00'!$A$1:$AK$41"}</definedName>
    <definedName name="______ago3" hidden="1">{"'gráf jan00'!$A$1:$AK$41"}</definedName>
    <definedName name="______ago4" localSheetId="3" hidden="1">{"'gráf jan00'!$A$1:$AK$41"}</definedName>
    <definedName name="______ago4" localSheetId="5" hidden="1">{"'gráf jan00'!$A$1:$AK$41"}</definedName>
    <definedName name="______ago4" hidden="1">{"'gráf jan00'!$A$1:$AK$41"}</definedName>
    <definedName name="______ago5" localSheetId="3" hidden="1">{"'gráf jan00'!$A$1:$AK$41"}</definedName>
    <definedName name="______ago5" localSheetId="5" hidden="1">{"'gráf jan00'!$A$1:$AK$41"}</definedName>
    <definedName name="______ago5" hidden="1">{"'gráf jan00'!$A$1:$AK$41"}</definedName>
    <definedName name="______ago6" localSheetId="3" hidden="1">{"'gráf jan00'!$A$1:$AK$41"}</definedName>
    <definedName name="______ago6" localSheetId="5" hidden="1">{"'gráf jan00'!$A$1:$AK$41"}</definedName>
    <definedName name="______ago6" hidden="1">{"'gráf jan00'!$A$1:$AK$41"}</definedName>
    <definedName name="______ago7" localSheetId="3" hidden="1">{"'gráf jan00'!$A$1:$AK$41"}</definedName>
    <definedName name="______ago7" localSheetId="5" hidden="1">{"'gráf jan00'!$A$1:$AK$41"}</definedName>
    <definedName name="______ago7" hidden="1">{"'gráf jan00'!$A$1:$AK$41"}</definedName>
    <definedName name="______ago8" localSheetId="3" hidden="1">{"'gráf jan00'!$A$1:$AK$41"}</definedName>
    <definedName name="______ago8" localSheetId="5" hidden="1">{"'gráf jan00'!$A$1:$AK$41"}</definedName>
    <definedName name="______ago8" hidden="1">{"'gráf jan00'!$A$1:$AK$41"}</definedName>
    <definedName name="______ago9" localSheetId="3" hidden="1">{"'gráf jan00'!$A$1:$AK$41"}</definedName>
    <definedName name="______ago9" localSheetId="5" hidden="1">{"'gráf jan00'!$A$1:$AK$41"}</definedName>
    <definedName name="______ago9" hidden="1">{"'gráf jan00'!$A$1:$AK$41"}</definedName>
    <definedName name="______ago99999" localSheetId="3" hidden="1">{"'gráf jan00'!$A$1:$AK$41"}</definedName>
    <definedName name="______ago99999" localSheetId="5" hidden="1">{"'gráf jan00'!$A$1:$AK$41"}</definedName>
    <definedName name="______ago99999" hidden="1">{"'gráf jan00'!$A$1:$AK$41"}</definedName>
    <definedName name="______DEF2" localSheetId="3" hidden="1">{#N/A,#N/A,FALSE,"DEF1";#N/A,#N/A,FALSE,"DEF2";#N/A,#N/A,FALSE,"DEF3"}</definedName>
    <definedName name="______DEF2" localSheetId="5" hidden="1">{#N/A,#N/A,FALSE,"DEF1";#N/A,#N/A,FALSE,"DEF2";#N/A,#N/A,FALSE,"DEF3"}</definedName>
    <definedName name="______DEF2" hidden="1">{#N/A,#N/A,FALSE,"DEF1";#N/A,#N/A,FALSE,"DEF2";#N/A,#N/A,FALSE,"DEF3"}</definedName>
    <definedName name="______DEF3" localSheetId="3" hidden="1">{#N/A,#N/A,FALSE,"DEF1";#N/A,#N/A,FALSE,"DEF2";#N/A,#N/A,FALSE,"DEF3"}</definedName>
    <definedName name="______DEF3" localSheetId="5" hidden="1">{#N/A,#N/A,FALSE,"DEF1";#N/A,#N/A,FALSE,"DEF2";#N/A,#N/A,FALSE,"DEF3"}</definedName>
    <definedName name="______DEF3" hidden="1">{#N/A,#N/A,FALSE,"DEF1";#N/A,#N/A,FALSE,"DEF2";#N/A,#N/A,FALSE,"DEF3"}</definedName>
    <definedName name="______efc10" localSheetId="3" hidden="1">{"'RR'!$A$2:$E$81"}</definedName>
    <definedName name="______efc10" localSheetId="5" hidden="1">{"'RR'!$A$2:$E$81"}</definedName>
    <definedName name="______efc10" hidden="1">{"'RR'!$A$2:$E$81"}</definedName>
    <definedName name="______EFC2" localSheetId="3" hidden="1">{"'RR'!$A$2:$E$81"}</definedName>
    <definedName name="______EFC2" localSheetId="5" hidden="1">{"'RR'!$A$2:$E$81"}</definedName>
    <definedName name="______EFC2" hidden="1">{"'RR'!$A$2:$E$81"}</definedName>
    <definedName name="______EFC3" localSheetId="3" hidden="1">{"'RR'!$A$2:$E$81"}</definedName>
    <definedName name="______EFC3" localSheetId="5" hidden="1">{"'RR'!$A$2:$E$81"}</definedName>
    <definedName name="______EFC3" hidden="1">{"'RR'!$A$2:$E$81"}</definedName>
    <definedName name="______EFC4" localSheetId="3" hidden="1">{"'RR'!$A$2:$E$81"}</definedName>
    <definedName name="______EFC4" localSheetId="5" hidden="1">{"'RR'!$A$2:$E$81"}</definedName>
    <definedName name="______EFC4" hidden="1">{"'RR'!$A$2:$E$81"}</definedName>
    <definedName name="______F99000">#REF!</definedName>
    <definedName name="______ffp16" localSheetId="3" hidden="1">{"'gráf jan00'!$A$1:$AK$41"}</definedName>
    <definedName name="______ffp16" localSheetId="5" hidden="1">{"'gráf jan00'!$A$1:$AK$41"}</definedName>
    <definedName name="______ffp16" hidden="1">{"'gráf jan00'!$A$1:$AK$41"}</definedName>
    <definedName name="______ffp4589" localSheetId="3" hidden="1">{"'gráf jan00'!$A$1:$AK$41"}</definedName>
    <definedName name="______ffp4589" localSheetId="5" hidden="1">{"'gráf jan00'!$A$1:$AK$41"}</definedName>
    <definedName name="______ffp4589" hidden="1">{"'gráf jan00'!$A$1:$AK$41"}</definedName>
    <definedName name="______jun04" localSheetId="3" hidden="1">{"'gráf jan00'!$A$1:$AK$41"}</definedName>
    <definedName name="______jun04" localSheetId="5" hidden="1">{"'gráf jan00'!$A$1:$AK$41"}</definedName>
    <definedName name="______jun04" hidden="1">{"'gráf jan00'!$A$1:$AK$41"}</definedName>
    <definedName name="______MOA1" localSheetId="3" hidden="1">{#N/A,#N/A,FALSE,"DEF1";#N/A,#N/A,FALSE,"DEF2";#N/A,#N/A,FALSE,"DEF3"}</definedName>
    <definedName name="______MOA1" localSheetId="5" hidden="1">{#N/A,#N/A,FALSE,"DEF1";#N/A,#N/A,FALSE,"DEF2";#N/A,#N/A,FALSE,"DEF3"}</definedName>
    <definedName name="______MOA1" hidden="1">{#N/A,#N/A,FALSE,"DEF1";#N/A,#N/A,FALSE,"DEF2";#N/A,#N/A,FALSE,"DEF3"}</definedName>
    <definedName name="______MOA2" localSheetId="3" hidden="1">{#N/A,#N/A,FALSE,"DEF1";#N/A,#N/A,FALSE,"DEF2";#N/A,#N/A,FALSE,"DEF3"}</definedName>
    <definedName name="______MOA2" localSheetId="5" hidden="1">{#N/A,#N/A,FALSE,"DEF1";#N/A,#N/A,FALSE,"DEF2";#N/A,#N/A,FALSE,"DEF3"}</definedName>
    <definedName name="______MOA2" hidden="1">{#N/A,#N/A,FALSE,"DEF1";#N/A,#N/A,FALSE,"DEF2";#N/A,#N/A,FALSE,"DEF3"}</definedName>
    <definedName name="______n2" localSheetId="3" hidden="1">{#N/A,#N/A,FALSE,"PCOL"}</definedName>
    <definedName name="______n2" localSheetId="5" hidden="1">{#N/A,#N/A,FALSE,"PCOL"}</definedName>
    <definedName name="______n2" hidden="1">{#N/A,#N/A,FALSE,"PCOL"}</definedName>
    <definedName name="______OUT98" localSheetId="3" hidden="1">{#N/A,#N/A,TRUE,"Serviços"}</definedName>
    <definedName name="______OUT98" localSheetId="5" hidden="1">{#N/A,#N/A,TRUE,"Serviços"}</definedName>
    <definedName name="______OUT98" hidden="1">{#N/A,#N/A,TRUE,"Serviços"}</definedName>
    <definedName name="______PN10" localSheetId="3" hidden="1">{"'gráf jan00'!$A$1:$AK$41"}</definedName>
    <definedName name="______PN10" localSheetId="5" hidden="1">{"'gráf jan00'!$A$1:$AK$41"}</definedName>
    <definedName name="______PN10" hidden="1">{"'gráf jan00'!$A$1:$AK$41"}</definedName>
    <definedName name="______r" localSheetId="3" hidden="1">{#N/A,#N/A,FALSE,"PCOL"}</definedName>
    <definedName name="______r" localSheetId="5" hidden="1">{#N/A,#N/A,FALSE,"PCOL"}</definedName>
    <definedName name="______r" hidden="1">{#N/A,#N/A,FALSE,"PCOL"}</definedName>
    <definedName name="_____ago1" localSheetId="3" hidden="1">{"'gráf jan00'!$A$1:$AK$41"}</definedName>
    <definedName name="_____ago1" localSheetId="5" hidden="1">{"'gráf jan00'!$A$1:$AK$41"}</definedName>
    <definedName name="_____ago1" hidden="1">{"'gráf jan00'!$A$1:$AK$41"}</definedName>
    <definedName name="_____ago10" localSheetId="3" hidden="1">{"'gráf jan00'!$A$1:$AK$41"}</definedName>
    <definedName name="_____ago10" localSheetId="5" hidden="1">{"'gráf jan00'!$A$1:$AK$41"}</definedName>
    <definedName name="_____ago10" hidden="1">{"'gráf jan00'!$A$1:$AK$41"}</definedName>
    <definedName name="_____ago2" localSheetId="3" hidden="1">{"'gráf jan00'!$A$1:$AK$41"}</definedName>
    <definedName name="_____ago2" localSheetId="5" hidden="1">{"'gráf jan00'!$A$1:$AK$41"}</definedName>
    <definedName name="_____ago2" hidden="1">{"'gráf jan00'!$A$1:$AK$41"}</definedName>
    <definedName name="_____ago3" localSheetId="3" hidden="1">{"'gráf jan00'!$A$1:$AK$41"}</definedName>
    <definedName name="_____ago3" localSheetId="5" hidden="1">{"'gráf jan00'!$A$1:$AK$41"}</definedName>
    <definedName name="_____ago3" hidden="1">{"'gráf jan00'!$A$1:$AK$41"}</definedName>
    <definedName name="_____ago4" localSheetId="3" hidden="1">{"'gráf jan00'!$A$1:$AK$41"}</definedName>
    <definedName name="_____ago4" localSheetId="5" hidden="1">{"'gráf jan00'!$A$1:$AK$41"}</definedName>
    <definedName name="_____ago4" hidden="1">{"'gráf jan00'!$A$1:$AK$41"}</definedName>
    <definedName name="_____ago5" localSheetId="3" hidden="1">{"'gráf jan00'!$A$1:$AK$41"}</definedName>
    <definedName name="_____ago5" localSheetId="5" hidden="1">{"'gráf jan00'!$A$1:$AK$41"}</definedName>
    <definedName name="_____ago5" hidden="1">{"'gráf jan00'!$A$1:$AK$41"}</definedName>
    <definedName name="_____ago6" localSheetId="3" hidden="1">{"'gráf jan00'!$A$1:$AK$41"}</definedName>
    <definedName name="_____ago6" localSheetId="5" hidden="1">{"'gráf jan00'!$A$1:$AK$41"}</definedName>
    <definedName name="_____ago6" hidden="1">{"'gráf jan00'!$A$1:$AK$41"}</definedName>
    <definedName name="_____ago7" localSheetId="3" hidden="1">{"'gráf jan00'!$A$1:$AK$41"}</definedName>
    <definedName name="_____ago7" localSheetId="5" hidden="1">{"'gráf jan00'!$A$1:$AK$41"}</definedName>
    <definedName name="_____ago7" hidden="1">{"'gráf jan00'!$A$1:$AK$41"}</definedName>
    <definedName name="_____ago8" localSheetId="3" hidden="1">{"'gráf jan00'!$A$1:$AK$41"}</definedName>
    <definedName name="_____ago8" localSheetId="5" hidden="1">{"'gráf jan00'!$A$1:$AK$41"}</definedName>
    <definedName name="_____ago8" hidden="1">{"'gráf jan00'!$A$1:$AK$41"}</definedName>
    <definedName name="_____ago9" localSheetId="3" hidden="1">{"'gráf jan00'!$A$1:$AK$41"}</definedName>
    <definedName name="_____ago9" localSheetId="5" hidden="1">{"'gráf jan00'!$A$1:$AK$41"}</definedName>
    <definedName name="_____ago9" hidden="1">{"'gráf jan00'!$A$1:$AK$41"}</definedName>
    <definedName name="_____ago99999" localSheetId="3" hidden="1">{"'gráf jan00'!$A$1:$AK$41"}</definedName>
    <definedName name="_____ago99999" localSheetId="5" hidden="1">{"'gráf jan00'!$A$1:$AK$41"}</definedName>
    <definedName name="_____ago99999" hidden="1">{"'gráf jan00'!$A$1:$AK$41"}</definedName>
    <definedName name="_____arq1" localSheetId="3" hidden="1">{"'REL CUSTODIF'!$B$1:$H$72"}</definedName>
    <definedName name="_____arq1" localSheetId="5" hidden="1">{"'REL CUSTODIF'!$B$1:$H$72"}</definedName>
    <definedName name="_____arq1" hidden="1">{"'REL CUSTODIF'!$B$1:$H$72"}</definedName>
    <definedName name="_____ba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DEF2" localSheetId="3" hidden="1">{#N/A,#N/A,FALSE,"DEF1";#N/A,#N/A,FALSE,"DEF2";#N/A,#N/A,FALSE,"DEF3"}</definedName>
    <definedName name="_____DEF2" localSheetId="5" hidden="1">{#N/A,#N/A,FALSE,"DEF1";#N/A,#N/A,FALSE,"DEF2";#N/A,#N/A,FALSE,"DEF3"}</definedName>
    <definedName name="_____DEF2" hidden="1">{#N/A,#N/A,FALSE,"DEF1";#N/A,#N/A,FALSE,"DEF2";#N/A,#N/A,FALSE,"DEF3"}</definedName>
    <definedName name="_____DEF3" localSheetId="3" hidden="1">{#N/A,#N/A,FALSE,"DEF1";#N/A,#N/A,FALSE,"DEF2";#N/A,#N/A,FALSE,"DEF3"}</definedName>
    <definedName name="_____DEF3" localSheetId="5" hidden="1">{#N/A,#N/A,FALSE,"DEF1";#N/A,#N/A,FALSE,"DEF2";#N/A,#N/A,FALSE,"DEF3"}</definedName>
    <definedName name="_____DEF3" hidden="1">{#N/A,#N/A,FALSE,"DEF1";#N/A,#N/A,FALSE,"DEF2";#N/A,#N/A,FALSE,"DEF3"}</definedName>
    <definedName name="_____efc10" localSheetId="3" hidden="1">{"'RR'!$A$2:$E$81"}</definedName>
    <definedName name="_____efc10" localSheetId="5" hidden="1">{"'RR'!$A$2:$E$81"}</definedName>
    <definedName name="_____efc10" hidden="1">{"'RR'!$A$2:$E$81"}</definedName>
    <definedName name="_____EFC2" localSheetId="3" hidden="1">{"'RR'!$A$2:$E$81"}</definedName>
    <definedName name="_____EFC2" localSheetId="5" hidden="1">{"'RR'!$A$2:$E$81"}</definedName>
    <definedName name="_____EFC2" hidden="1">{"'RR'!$A$2:$E$81"}</definedName>
    <definedName name="_____EFC3" localSheetId="3" hidden="1">{"'RR'!$A$2:$E$81"}</definedName>
    <definedName name="_____EFC3" localSheetId="5" hidden="1">{"'RR'!$A$2:$E$81"}</definedName>
    <definedName name="_____EFC3" hidden="1">{"'RR'!$A$2:$E$81"}</definedName>
    <definedName name="_____EFC4" localSheetId="3" hidden="1">{"'RR'!$A$2:$E$81"}</definedName>
    <definedName name="_____EFC4" localSheetId="5" hidden="1">{"'RR'!$A$2:$E$81"}</definedName>
    <definedName name="_____EFC4" hidden="1">{"'RR'!$A$2:$E$81"}</definedName>
    <definedName name="_____ffp16" localSheetId="3" hidden="1">{"'gráf jan00'!$A$1:$AK$41"}</definedName>
    <definedName name="_____ffp16" localSheetId="5" hidden="1">{"'gráf jan00'!$A$1:$AK$41"}</definedName>
    <definedName name="_____ffp16" hidden="1">{"'gráf jan00'!$A$1:$AK$41"}</definedName>
    <definedName name="_____ffp4589" localSheetId="3" hidden="1">{"'gráf jan00'!$A$1:$AK$41"}</definedName>
    <definedName name="_____ffp4589" localSheetId="5" hidden="1">{"'gráf jan00'!$A$1:$AK$41"}</definedName>
    <definedName name="_____ffp4589" hidden="1">{"'gráf jan00'!$A$1:$AK$41"}</definedName>
    <definedName name="_____jun04" localSheetId="3" hidden="1">{"'gráf jan00'!$A$1:$AK$41"}</definedName>
    <definedName name="_____jun04" localSheetId="5" hidden="1">{"'gráf jan00'!$A$1:$AK$41"}</definedName>
    <definedName name="_____jun04" hidden="1">{"'gráf jan00'!$A$1:$AK$41"}</definedName>
    <definedName name="_____MOA1" localSheetId="3" hidden="1">{#N/A,#N/A,FALSE,"DEF1";#N/A,#N/A,FALSE,"DEF2";#N/A,#N/A,FALSE,"DEF3"}</definedName>
    <definedName name="_____MOA1" localSheetId="5" hidden="1">{#N/A,#N/A,FALSE,"DEF1";#N/A,#N/A,FALSE,"DEF2";#N/A,#N/A,FALSE,"DEF3"}</definedName>
    <definedName name="_____MOA1" hidden="1">{#N/A,#N/A,FALSE,"DEF1";#N/A,#N/A,FALSE,"DEF2";#N/A,#N/A,FALSE,"DEF3"}</definedName>
    <definedName name="_____MOA2" localSheetId="3" hidden="1">{#N/A,#N/A,FALSE,"DEF1";#N/A,#N/A,FALSE,"DEF2";#N/A,#N/A,FALSE,"DEF3"}</definedName>
    <definedName name="_____MOA2" localSheetId="5" hidden="1">{#N/A,#N/A,FALSE,"DEF1";#N/A,#N/A,FALSE,"DEF2";#N/A,#N/A,FALSE,"DEF3"}</definedName>
    <definedName name="_____MOA2" hidden="1">{#N/A,#N/A,FALSE,"DEF1";#N/A,#N/A,FALSE,"DEF2";#N/A,#N/A,FALSE,"DEF3"}</definedName>
    <definedName name="_____n2" localSheetId="3" hidden="1">{#N/A,#N/A,FALSE,"PCOL"}</definedName>
    <definedName name="_____n2" localSheetId="5" hidden="1">{#N/A,#N/A,FALSE,"PCOL"}</definedName>
    <definedName name="_____n2" hidden="1">{#N/A,#N/A,FALSE,"PCOL"}</definedName>
    <definedName name="_____OUT98" localSheetId="3" hidden="1">{#N/A,#N/A,TRUE,"Serviços"}</definedName>
    <definedName name="_____OUT98" localSheetId="5" hidden="1">{#N/A,#N/A,TRUE,"Serviços"}</definedName>
    <definedName name="_____OUT98" hidden="1">{#N/A,#N/A,TRUE,"Serviços"}</definedName>
    <definedName name="_____PN10" localSheetId="3" hidden="1">{"'gráf jan00'!$A$1:$AK$41"}</definedName>
    <definedName name="_____PN10" localSheetId="5" hidden="1">{"'gráf jan00'!$A$1:$AK$41"}</definedName>
    <definedName name="_____PN10" hidden="1">{"'gráf jan00'!$A$1:$AK$41"}</definedName>
    <definedName name="_____r" localSheetId="3" hidden="1">{#N/A,#N/A,FALSE,"PCOL"}</definedName>
    <definedName name="_____r" localSheetId="5" hidden="1">{#N/A,#N/A,FALSE,"PCOL"}</definedName>
    <definedName name="_____r" hidden="1">{#N/A,#N/A,FALSE,"PCOL"}</definedName>
    <definedName name="_____v1" localSheetId="3" hidden="1">{"'REL CUSTODIF'!$B$1:$H$72"}</definedName>
    <definedName name="_____v1" localSheetId="5" hidden="1">{"'REL CUSTODIF'!$B$1:$H$72"}</definedName>
    <definedName name="_____v1" hidden="1">{"'REL CUSTODIF'!$B$1:$H$72"}</definedName>
    <definedName name="_____x1" localSheetId="3" hidden="1">{"'REL CUSTODIF'!$B$1:$H$72"}</definedName>
    <definedName name="_____x1" localSheetId="5" hidden="1">{"'REL CUSTODIF'!$B$1:$H$72"}</definedName>
    <definedName name="_____x1" hidden="1">{"'REL CUSTODIF'!$B$1:$H$72"}</definedName>
    <definedName name="_____x10" localSheetId="3" hidden="1">{"'REL CUSTODIF'!$B$1:$H$72"}</definedName>
    <definedName name="_____x10" localSheetId="5" hidden="1">{"'REL CUSTODIF'!$B$1:$H$72"}</definedName>
    <definedName name="_____x10" hidden="1">{"'REL CUSTODIF'!$B$1:$H$72"}</definedName>
    <definedName name="_____x11" localSheetId="3" hidden="1">{"'REL CUSTODIF'!$B$1:$H$72"}</definedName>
    <definedName name="_____x11" localSheetId="5" hidden="1">{"'REL CUSTODIF'!$B$1:$H$72"}</definedName>
    <definedName name="_____x11" hidden="1">{"'REL CUSTODIF'!$B$1:$H$72"}</definedName>
    <definedName name="_____x12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___x12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___x12" hidden="1">{#N/A,#N/A,FALSE,"Suprimentos";#N/A,#N/A,FALSE,"Medicina e Segurança";#N/A,#N/A,FALSE,"Administração";#N/A,#N/A,FALSE,"Meio Ambiente";#N/A,#N/A,FALSE,"Operação (Mina)";#N/A,#N/A,FALSE,"Operação (Porto)"}</definedName>
    <definedName name="_____x13" localSheetId="3" hidden="1">{"'REL CUSTODIF'!$B$1:$H$72"}</definedName>
    <definedName name="_____x13" localSheetId="5" hidden="1">{"'REL CUSTODIF'!$B$1:$H$72"}</definedName>
    <definedName name="_____x13" hidden="1">{"'REL CUSTODIF'!$B$1:$H$72"}</definedName>
    <definedName name="_____x2" localSheetId="3" hidden="1">{"'REL CUSTODIF'!$B$1:$H$72"}</definedName>
    <definedName name="_____x2" localSheetId="5" hidden="1">{"'REL CUSTODIF'!$B$1:$H$72"}</definedName>
    <definedName name="_____x2" hidden="1">{"'REL CUSTODIF'!$B$1:$H$72"}</definedName>
    <definedName name="_____x20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___x20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___x20" hidden="1">{#N/A,#N/A,FALSE,"Suprimentos";#N/A,#N/A,FALSE,"Medicina e Segurança";#N/A,#N/A,FALSE,"Administração";#N/A,#N/A,FALSE,"Meio Ambiente";#N/A,#N/A,FALSE,"Operação (Mina)";#N/A,#N/A,FALSE,"Operação (Porto)"}</definedName>
    <definedName name="_____x3" localSheetId="3" hidden="1">{"'REL CUSTODIF'!$B$1:$H$72"}</definedName>
    <definedName name="_____x3" localSheetId="5" hidden="1">{"'REL CUSTODIF'!$B$1:$H$72"}</definedName>
    <definedName name="_____x3" hidden="1">{"'REL CUSTODIF'!$B$1:$H$72"}</definedName>
    <definedName name="_____x4" localSheetId="3" hidden="1">{"'REL CUSTODIF'!$B$1:$H$72"}</definedName>
    <definedName name="_____x4" localSheetId="5" hidden="1">{"'REL CUSTODIF'!$B$1:$H$72"}</definedName>
    <definedName name="_____x4" hidden="1">{"'REL CUSTODIF'!$B$1:$H$72"}</definedName>
    <definedName name="_____x5" localSheetId="3" hidden="1">{"'REL CUSTODIF'!$B$1:$H$72"}</definedName>
    <definedName name="_____x5" localSheetId="5" hidden="1">{"'REL CUSTODIF'!$B$1:$H$72"}</definedName>
    <definedName name="_____x5" hidden="1">{"'REL CUSTODIF'!$B$1:$H$72"}</definedName>
    <definedName name="_____x6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___x6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___x6" hidden="1">{#N/A,#N/A,FALSE,"Suprimentos";#N/A,#N/A,FALSE,"Medicina e Segurança";#N/A,#N/A,FALSE,"Administração";#N/A,#N/A,FALSE,"Meio Ambiente";#N/A,#N/A,FALSE,"Operação (Mina)";#N/A,#N/A,FALSE,"Operação (Porto)"}</definedName>
    <definedName name="_____x7" localSheetId="3" hidden="1">{"'REL CUSTODIF'!$B$1:$H$72"}</definedName>
    <definedName name="_____x7" localSheetId="5" hidden="1">{"'REL CUSTODIF'!$B$1:$H$72"}</definedName>
    <definedName name="_____x7" hidden="1">{"'REL CUSTODIF'!$B$1:$H$72"}</definedName>
    <definedName name="_____x8" localSheetId="3" hidden="1">{"'REL CUSTODIF'!$B$1:$H$72"}</definedName>
    <definedName name="_____x8" localSheetId="5" hidden="1">{"'REL CUSTODIF'!$B$1:$H$72"}</definedName>
    <definedName name="_____x8" hidden="1">{"'REL CUSTODIF'!$B$1:$H$72"}</definedName>
    <definedName name="____ago1" localSheetId="3" hidden="1">{"'gráf jan00'!$A$1:$AK$41"}</definedName>
    <definedName name="____ago1" localSheetId="5" hidden="1">{"'gráf jan00'!$A$1:$AK$41"}</definedName>
    <definedName name="____ago1" hidden="1">{"'gráf jan00'!$A$1:$AK$41"}</definedName>
    <definedName name="____ago10" localSheetId="3" hidden="1">{"'gráf jan00'!$A$1:$AK$41"}</definedName>
    <definedName name="____ago10" localSheetId="5" hidden="1">{"'gráf jan00'!$A$1:$AK$41"}</definedName>
    <definedName name="____ago10" hidden="1">{"'gráf jan00'!$A$1:$AK$41"}</definedName>
    <definedName name="____ago2" localSheetId="3" hidden="1">{"'gráf jan00'!$A$1:$AK$41"}</definedName>
    <definedName name="____ago2" localSheetId="5" hidden="1">{"'gráf jan00'!$A$1:$AK$41"}</definedName>
    <definedName name="____ago2" hidden="1">{"'gráf jan00'!$A$1:$AK$41"}</definedName>
    <definedName name="____ago3" localSheetId="3" hidden="1">{"'gráf jan00'!$A$1:$AK$41"}</definedName>
    <definedName name="____ago3" localSheetId="5" hidden="1">{"'gráf jan00'!$A$1:$AK$41"}</definedName>
    <definedName name="____ago3" hidden="1">{"'gráf jan00'!$A$1:$AK$41"}</definedName>
    <definedName name="____ago4" localSheetId="3" hidden="1">{"'gráf jan00'!$A$1:$AK$41"}</definedName>
    <definedName name="____ago4" localSheetId="5" hidden="1">{"'gráf jan00'!$A$1:$AK$41"}</definedName>
    <definedName name="____ago4" hidden="1">{"'gráf jan00'!$A$1:$AK$41"}</definedName>
    <definedName name="____ago5" localSheetId="3" hidden="1">{"'gráf jan00'!$A$1:$AK$41"}</definedName>
    <definedName name="____ago5" localSheetId="5" hidden="1">{"'gráf jan00'!$A$1:$AK$41"}</definedName>
    <definedName name="____ago5" hidden="1">{"'gráf jan00'!$A$1:$AK$41"}</definedName>
    <definedName name="____ago6" localSheetId="3" hidden="1">{"'gráf jan00'!$A$1:$AK$41"}</definedName>
    <definedName name="____ago6" localSheetId="5" hidden="1">{"'gráf jan00'!$A$1:$AK$41"}</definedName>
    <definedName name="____ago6" hidden="1">{"'gráf jan00'!$A$1:$AK$41"}</definedName>
    <definedName name="____ago7" localSheetId="3" hidden="1">{"'gráf jan00'!$A$1:$AK$41"}</definedName>
    <definedName name="____ago7" localSheetId="5" hidden="1">{"'gráf jan00'!$A$1:$AK$41"}</definedName>
    <definedName name="____ago7" hidden="1">{"'gráf jan00'!$A$1:$AK$41"}</definedName>
    <definedName name="____ago8" localSheetId="3" hidden="1">{"'gráf jan00'!$A$1:$AK$41"}</definedName>
    <definedName name="____ago8" localSheetId="5" hidden="1">{"'gráf jan00'!$A$1:$AK$41"}</definedName>
    <definedName name="____ago8" hidden="1">{"'gráf jan00'!$A$1:$AK$41"}</definedName>
    <definedName name="____ago9" localSheetId="3" hidden="1">{"'gráf jan00'!$A$1:$AK$41"}</definedName>
    <definedName name="____ago9" localSheetId="5" hidden="1">{"'gráf jan00'!$A$1:$AK$41"}</definedName>
    <definedName name="____ago9" hidden="1">{"'gráf jan00'!$A$1:$AK$41"}</definedName>
    <definedName name="____ago99999" localSheetId="3" hidden="1">{"'gráf jan00'!$A$1:$AK$41"}</definedName>
    <definedName name="____ago99999" localSheetId="5" hidden="1">{"'gráf jan00'!$A$1:$AK$41"}</definedName>
    <definedName name="____ago99999" hidden="1">{"'gráf jan00'!$A$1:$AK$41"}</definedName>
    <definedName name="____ba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COD1">#REF!</definedName>
    <definedName name="____COD10">#REF!</definedName>
    <definedName name="____COD11">#REF!</definedName>
    <definedName name="____COD13">#REF!</definedName>
    <definedName name="____COD16">#REF!</definedName>
    <definedName name="____COD17">#REF!</definedName>
    <definedName name="____COD21">#REF!</definedName>
    <definedName name="____COD23">#REF!</definedName>
    <definedName name="____COD24">#REF!</definedName>
    <definedName name="____COD28">#REF!</definedName>
    <definedName name="____COD29">#REF!</definedName>
    <definedName name="____COD32">#REF!</definedName>
    <definedName name="____COD35">#REF!</definedName>
    <definedName name="____COD36">#REF!</definedName>
    <definedName name="____COD37">#REF!</definedName>
    <definedName name="____COD41">#REF!</definedName>
    <definedName name="____COD42">#REF!</definedName>
    <definedName name="____COD43">#REF!</definedName>
    <definedName name="____COD44">#REF!</definedName>
    <definedName name="____COD46">#REF!</definedName>
    <definedName name="____COD47">#REF!</definedName>
    <definedName name="____COD49">#REF!</definedName>
    <definedName name="____COD50">#REF!</definedName>
    <definedName name="____COD55">#REF!</definedName>
    <definedName name="____COD60">#REF!</definedName>
    <definedName name="____COD62">#REF!</definedName>
    <definedName name="____COD65">#REF!</definedName>
    <definedName name="____COD66">#REF!</definedName>
    <definedName name="____COD68">#REF!</definedName>
    <definedName name="____COD8">#REF!</definedName>
    <definedName name="____DEF2" localSheetId="3" hidden="1">{#N/A,#N/A,FALSE,"DEF1";#N/A,#N/A,FALSE,"DEF2";#N/A,#N/A,FALSE,"DEF3"}</definedName>
    <definedName name="____DEF2" localSheetId="5" hidden="1">{#N/A,#N/A,FALSE,"DEF1";#N/A,#N/A,FALSE,"DEF2";#N/A,#N/A,FALSE,"DEF3"}</definedName>
    <definedName name="____DEF2" hidden="1">{#N/A,#N/A,FALSE,"DEF1";#N/A,#N/A,FALSE,"DEF2";#N/A,#N/A,FALSE,"DEF3"}</definedName>
    <definedName name="____DEF3" localSheetId="3" hidden="1">{#N/A,#N/A,FALSE,"DEF1";#N/A,#N/A,FALSE,"DEF2";#N/A,#N/A,FALSE,"DEF3"}</definedName>
    <definedName name="____DEF3" localSheetId="5" hidden="1">{#N/A,#N/A,FALSE,"DEF1";#N/A,#N/A,FALSE,"DEF2";#N/A,#N/A,FALSE,"DEF3"}</definedName>
    <definedName name="____DEF3" hidden="1">{#N/A,#N/A,FALSE,"DEF1";#N/A,#N/A,FALSE,"DEF2";#N/A,#N/A,FALSE,"DEF3"}</definedName>
    <definedName name="____efc10" localSheetId="3" hidden="1">{"'RR'!$A$2:$E$81"}</definedName>
    <definedName name="____efc10" localSheetId="5" hidden="1">{"'RR'!$A$2:$E$81"}</definedName>
    <definedName name="____efc10" hidden="1">{"'RR'!$A$2:$E$81"}</definedName>
    <definedName name="____EFC2" localSheetId="3" hidden="1">{"'RR'!$A$2:$E$81"}</definedName>
    <definedName name="____EFC2" localSheetId="5" hidden="1">{"'RR'!$A$2:$E$81"}</definedName>
    <definedName name="____EFC2" hidden="1">{"'RR'!$A$2:$E$81"}</definedName>
    <definedName name="____EFC3" localSheetId="3" hidden="1">{"'RR'!$A$2:$E$81"}</definedName>
    <definedName name="____EFC3" localSheetId="5" hidden="1">{"'RR'!$A$2:$E$81"}</definedName>
    <definedName name="____EFC3" hidden="1">{"'RR'!$A$2:$E$81"}</definedName>
    <definedName name="____EFC4" localSheetId="3" hidden="1">{"'RR'!$A$2:$E$81"}</definedName>
    <definedName name="____EFC4" localSheetId="5" hidden="1">{"'RR'!$A$2:$E$81"}</definedName>
    <definedName name="____EFC4" hidden="1">{"'RR'!$A$2:$E$81"}</definedName>
    <definedName name="____F99000">#REF!</definedName>
    <definedName name="____ffp16" localSheetId="3" hidden="1">{"'gráf jan00'!$A$1:$AK$41"}</definedName>
    <definedName name="____ffp16" localSheetId="5" hidden="1">{"'gráf jan00'!$A$1:$AK$41"}</definedName>
    <definedName name="____ffp16" hidden="1">{"'gráf jan00'!$A$1:$AK$41"}</definedName>
    <definedName name="____ffp4589" localSheetId="3" hidden="1">{"'gráf jan00'!$A$1:$AK$41"}</definedName>
    <definedName name="____ffp4589" localSheetId="5" hidden="1">{"'gráf jan00'!$A$1:$AK$41"}</definedName>
    <definedName name="____ffp4589" hidden="1">{"'gráf jan00'!$A$1:$AK$41"}</definedName>
    <definedName name="____jun04" localSheetId="3" hidden="1">{"'gráf jan00'!$A$1:$AK$41"}</definedName>
    <definedName name="____jun04" localSheetId="5" hidden="1">{"'gráf jan00'!$A$1:$AK$41"}</definedName>
    <definedName name="____jun04" hidden="1">{"'gráf jan00'!$A$1:$AK$41"}</definedName>
    <definedName name="____MOA1" localSheetId="3" hidden="1">{#N/A,#N/A,FALSE,"DEF1";#N/A,#N/A,FALSE,"DEF2";#N/A,#N/A,FALSE,"DEF3"}</definedName>
    <definedName name="____MOA1" localSheetId="5" hidden="1">{#N/A,#N/A,FALSE,"DEF1";#N/A,#N/A,FALSE,"DEF2";#N/A,#N/A,FALSE,"DEF3"}</definedName>
    <definedName name="____MOA1" hidden="1">{#N/A,#N/A,FALSE,"DEF1";#N/A,#N/A,FALSE,"DEF2";#N/A,#N/A,FALSE,"DEF3"}</definedName>
    <definedName name="____MOA2" localSheetId="3" hidden="1">{#N/A,#N/A,FALSE,"DEF1";#N/A,#N/A,FALSE,"DEF2";#N/A,#N/A,FALSE,"DEF3"}</definedName>
    <definedName name="____MOA2" localSheetId="5" hidden="1">{#N/A,#N/A,FALSE,"DEF1";#N/A,#N/A,FALSE,"DEF2";#N/A,#N/A,FALSE,"DEF3"}</definedName>
    <definedName name="____MOA2" hidden="1">{#N/A,#N/A,FALSE,"DEF1";#N/A,#N/A,FALSE,"DEF2";#N/A,#N/A,FALSE,"DEF3"}</definedName>
    <definedName name="____n2" localSheetId="3" hidden="1">{#N/A,#N/A,FALSE,"PCOL"}</definedName>
    <definedName name="____n2" localSheetId="5" hidden="1">{#N/A,#N/A,FALSE,"PCOL"}</definedName>
    <definedName name="____n2" hidden="1">{#N/A,#N/A,FALSE,"PCOL"}</definedName>
    <definedName name="____OUT98" localSheetId="3" hidden="1">{#N/A,#N/A,TRUE,"Serviços"}</definedName>
    <definedName name="____OUT98" localSheetId="5" hidden="1">{#N/A,#N/A,TRUE,"Serviços"}</definedName>
    <definedName name="____OUT98" hidden="1">{#N/A,#N/A,TRUE,"Serviços"}</definedName>
    <definedName name="____PN10" localSheetId="3" hidden="1">{"'gráf jan00'!$A$1:$AK$41"}</definedName>
    <definedName name="____PN10" localSheetId="5" hidden="1">{"'gráf jan00'!$A$1:$AK$41"}</definedName>
    <definedName name="____PN10" hidden="1">{"'gráf jan00'!$A$1:$AK$41"}</definedName>
    <definedName name="____R">#REF!</definedName>
    <definedName name="___ago1" localSheetId="3" hidden="1">{"'gráf jan00'!$A$1:$AK$41"}</definedName>
    <definedName name="___ago1" localSheetId="5" hidden="1">{"'gráf jan00'!$A$1:$AK$41"}</definedName>
    <definedName name="___ago1" hidden="1">{"'gráf jan00'!$A$1:$AK$41"}</definedName>
    <definedName name="___ago10" localSheetId="3" hidden="1">{"'gráf jan00'!$A$1:$AK$41"}</definedName>
    <definedName name="___ago10" localSheetId="5" hidden="1">{"'gráf jan00'!$A$1:$AK$41"}</definedName>
    <definedName name="___ago10" hidden="1">{"'gráf jan00'!$A$1:$AK$41"}</definedName>
    <definedName name="___ago2" localSheetId="3" hidden="1">{"'gráf jan00'!$A$1:$AK$41"}</definedName>
    <definedName name="___ago2" localSheetId="5" hidden="1">{"'gráf jan00'!$A$1:$AK$41"}</definedName>
    <definedName name="___ago2" hidden="1">{"'gráf jan00'!$A$1:$AK$41"}</definedName>
    <definedName name="___ago3" localSheetId="3" hidden="1">{"'gráf jan00'!$A$1:$AK$41"}</definedName>
    <definedName name="___ago3" localSheetId="5" hidden="1">{"'gráf jan00'!$A$1:$AK$41"}</definedName>
    <definedName name="___ago3" hidden="1">{"'gráf jan00'!$A$1:$AK$41"}</definedName>
    <definedName name="___ago4" localSheetId="3" hidden="1">{"'gráf jan00'!$A$1:$AK$41"}</definedName>
    <definedName name="___ago4" localSheetId="5" hidden="1">{"'gráf jan00'!$A$1:$AK$41"}</definedName>
    <definedName name="___ago4" hidden="1">{"'gráf jan00'!$A$1:$AK$41"}</definedName>
    <definedName name="___ago5" localSheetId="3" hidden="1">{"'gráf jan00'!$A$1:$AK$41"}</definedName>
    <definedName name="___ago5" localSheetId="5" hidden="1">{"'gráf jan00'!$A$1:$AK$41"}</definedName>
    <definedName name="___ago5" hidden="1">{"'gráf jan00'!$A$1:$AK$41"}</definedName>
    <definedName name="___ago6" localSheetId="3" hidden="1">{"'gráf jan00'!$A$1:$AK$41"}</definedName>
    <definedName name="___ago6" localSheetId="5" hidden="1">{"'gráf jan00'!$A$1:$AK$41"}</definedName>
    <definedName name="___ago6" hidden="1">{"'gráf jan00'!$A$1:$AK$41"}</definedName>
    <definedName name="___ago7" localSheetId="3" hidden="1">{"'gráf jan00'!$A$1:$AK$41"}</definedName>
    <definedName name="___ago7" localSheetId="5" hidden="1">{"'gráf jan00'!$A$1:$AK$41"}</definedName>
    <definedName name="___ago7" hidden="1">{"'gráf jan00'!$A$1:$AK$41"}</definedName>
    <definedName name="___ago8" localSheetId="3" hidden="1">{"'gráf jan00'!$A$1:$AK$41"}</definedName>
    <definedName name="___ago8" localSheetId="5" hidden="1">{"'gráf jan00'!$A$1:$AK$41"}</definedName>
    <definedName name="___ago8" hidden="1">{"'gráf jan00'!$A$1:$AK$41"}</definedName>
    <definedName name="___ago9" localSheetId="3" hidden="1">{"'gráf jan00'!$A$1:$AK$41"}</definedName>
    <definedName name="___ago9" localSheetId="5" hidden="1">{"'gráf jan00'!$A$1:$AK$41"}</definedName>
    <definedName name="___ago9" hidden="1">{"'gráf jan00'!$A$1:$AK$41"}</definedName>
    <definedName name="___ago99999" localSheetId="3" hidden="1">{"'gráf jan00'!$A$1:$AK$41"}</definedName>
    <definedName name="___ago99999" localSheetId="5" hidden="1">{"'gráf jan00'!$A$1:$AK$41"}</definedName>
    <definedName name="___ago99999" hidden="1">{"'gráf jan00'!$A$1:$AK$41"}</definedName>
    <definedName name="___arq1" localSheetId="3" hidden="1">{"'REL CUSTODIF'!$B$1:$H$72"}</definedName>
    <definedName name="___arq1" localSheetId="5" hidden="1">{"'REL CUSTODIF'!$B$1:$H$72"}</definedName>
    <definedName name="___arq1" hidden="1">{"'REL CUSTODIF'!$B$1:$H$72"}</definedName>
    <definedName name="___C">#REF!</definedName>
    <definedName name="___COD1">#REF!</definedName>
    <definedName name="___COD10">#REF!</definedName>
    <definedName name="___COD11">#REF!</definedName>
    <definedName name="___COD13">#REF!</definedName>
    <definedName name="___COD138">#REF!</definedName>
    <definedName name="___COD16">#REF!</definedName>
    <definedName name="___COD17">#REF!</definedName>
    <definedName name="___COD21">#REF!</definedName>
    <definedName name="___COD23">#REF!</definedName>
    <definedName name="___COD24">#REF!</definedName>
    <definedName name="___COD28">#REF!</definedName>
    <definedName name="___COD29">#REF!</definedName>
    <definedName name="___COD32">#REF!</definedName>
    <definedName name="___COD35">#REF!</definedName>
    <definedName name="___COD36">#REF!</definedName>
    <definedName name="___COD37">#REF!</definedName>
    <definedName name="___COD41">#REF!</definedName>
    <definedName name="___COD42">#REF!</definedName>
    <definedName name="___COD43">#REF!</definedName>
    <definedName name="___COD44">#REF!</definedName>
    <definedName name="___COD46">#REF!</definedName>
    <definedName name="___COD47">#REF!</definedName>
    <definedName name="___COD49">#REF!</definedName>
    <definedName name="___COD50">#REF!</definedName>
    <definedName name="___COD55">#REF!</definedName>
    <definedName name="___COD60">#REF!</definedName>
    <definedName name="___COD62">#REF!</definedName>
    <definedName name="___COD65">#REF!</definedName>
    <definedName name="___COD66">#REF!</definedName>
    <definedName name="___COD68">#REF!</definedName>
    <definedName name="___COD8">#REF!</definedName>
    <definedName name="___D1" localSheetId="3" hidden="1">{#N/A,#N/A,FALSE,"PCOL"}</definedName>
    <definedName name="___D1" localSheetId="5" hidden="1">{#N/A,#N/A,FALSE,"PCOL"}</definedName>
    <definedName name="___D1" hidden="1">{#N/A,#N/A,FALSE,"PCOL"}</definedName>
    <definedName name="___DEF2" localSheetId="3" hidden="1">{#N/A,#N/A,FALSE,"DEF1";#N/A,#N/A,FALSE,"DEF2";#N/A,#N/A,FALSE,"DEF3"}</definedName>
    <definedName name="___DEF2" localSheetId="5" hidden="1">{#N/A,#N/A,FALSE,"DEF1";#N/A,#N/A,FALSE,"DEF2";#N/A,#N/A,FALSE,"DEF3"}</definedName>
    <definedName name="___DEF2" hidden="1">{#N/A,#N/A,FALSE,"DEF1";#N/A,#N/A,FALSE,"DEF2";#N/A,#N/A,FALSE,"DEF3"}</definedName>
    <definedName name="___DEF3" localSheetId="3" hidden="1">{#N/A,#N/A,FALSE,"DEF1";#N/A,#N/A,FALSE,"DEF2";#N/A,#N/A,FALSE,"DEF3"}</definedName>
    <definedName name="___DEF3" localSheetId="5" hidden="1">{#N/A,#N/A,FALSE,"DEF1";#N/A,#N/A,FALSE,"DEF2";#N/A,#N/A,FALSE,"DEF3"}</definedName>
    <definedName name="___DEF3" hidden="1">{#N/A,#N/A,FALSE,"DEF1";#N/A,#N/A,FALSE,"DEF2";#N/A,#N/A,FALSE,"DEF3"}</definedName>
    <definedName name="___efc10" localSheetId="3" hidden="1">{"'RR'!$A$2:$E$81"}</definedName>
    <definedName name="___efc10" localSheetId="5" hidden="1">{"'RR'!$A$2:$E$81"}</definedName>
    <definedName name="___efc10" hidden="1">{"'RR'!$A$2:$E$81"}</definedName>
    <definedName name="___EFC2" localSheetId="3" hidden="1">{"'RR'!$A$2:$E$81"}</definedName>
    <definedName name="___EFC2" localSheetId="5" hidden="1">{"'RR'!$A$2:$E$81"}</definedName>
    <definedName name="___EFC2" hidden="1">{"'RR'!$A$2:$E$81"}</definedName>
    <definedName name="___EFC3" localSheetId="3" hidden="1">{"'RR'!$A$2:$E$81"}</definedName>
    <definedName name="___EFC3" localSheetId="5" hidden="1">{"'RR'!$A$2:$E$81"}</definedName>
    <definedName name="___EFC3" hidden="1">{"'RR'!$A$2:$E$81"}</definedName>
    <definedName name="___EFC4" localSheetId="3" hidden="1">{"'RR'!$A$2:$E$81"}</definedName>
    <definedName name="___EFC4" localSheetId="5" hidden="1">{"'RR'!$A$2:$E$81"}</definedName>
    <definedName name="___EFC4" hidden="1">{"'RR'!$A$2:$E$81"}</definedName>
    <definedName name="___F99000">#REF!</definedName>
    <definedName name="___ffp16" localSheetId="3" hidden="1">{"'gráf jan00'!$A$1:$AK$41"}</definedName>
    <definedName name="___ffp16" localSheetId="5" hidden="1">{"'gráf jan00'!$A$1:$AK$41"}</definedName>
    <definedName name="___ffp16" hidden="1">{"'gráf jan00'!$A$1:$AK$41"}</definedName>
    <definedName name="___ffp4589" localSheetId="3" hidden="1">{"'gráf jan00'!$A$1:$AK$41"}</definedName>
    <definedName name="___ffp4589" localSheetId="5" hidden="1">{"'gráf jan00'!$A$1:$AK$41"}</definedName>
    <definedName name="___ffp4589" hidden="1">{"'gráf jan00'!$A$1:$AK$41"}</definedName>
    <definedName name="___jun04" localSheetId="3" hidden="1">{"'gráf jan00'!$A$1:$AK$41"}</definedName>
    <definedName name="___jun04" localSheetId="5" hidden="1">{"'gráf jan00'!$A$1:$AK$41"}</definedName>
    <definedName name="___jun04" hidden="1">{"'gráf jan00'!$A$1:$AK$41"}</definedName>
    <definedName name="___ki2" localSheetId="3" hidden="1">{#N/A,#N/A,FALSE,"PCOL"}</definedName>
    <definedName name="___ki2" localSheetId="5" hidden="1">{#N/A,#N/A,FALSE,"PCOL"}</definedName>
    <definedName name="___ki2" hidden="1">{#N/A,#N/A,FALSE,"PCOL"}</definedName>
    <definedName name="___MOA1" localSheetId="3" hidden="1">{#N/A,#N/A,FALSE,"DEF1";#N/A,#N/A,FALSE,"DEF2";#N/A,#N/A,FALSE,"DEF3"}</definedName>
    <definedName name="___MOA1" localSheetId="5" hidden="1">{#N/A,#N/A,FALSE,"DEF1";#N/A,#N/A,FALSE,"DEF2";#N/A,#N/A,FALSE,"DEF3"}</definedName>
    <definedName name="___MOA1" hidden="1">{#N/A,#N/A,FALSE,"DEF1";#N/A,#N/A,FALSE,"DEF2";#N/A,#N/A,FALSE,"DEF3"}</definedName>
    <definedName name="___MOA2" localSheetId="3" hidden="1">{#N/A,#N/A,FALSE,"DEF1";#N/A,#N/A,FALSE,"DEF2";#N/A,#N/A,FALSE,"DEF3"}</definedName>
    <definedName name="___MOA2" localSheetId="5" hidden="1">{#N/A,#N/A,FALSE,"DEF1";#N/A,#N/A,FALSE,"DEF2";#N/A,#N/A,FALSE,"DEF3"}</definedName>
    <definedName name="___MOA2" hidden="1">{#N/A,#N/A,FALSE,"DEF1";#N/A,#N/A,FALSE,"DEF2";#N/A,#N/A,FALSE,"DEF3"}</definedName>
    <definedName name="___n2" localSheetId="3" hidden="1">{#N/A,#N/A,FALSE,"PCOL"}</definedName>
    <definedName name="___n2" localSheetId="5" hidden="1">{#N/A,#N/A,FALSE,"PCOL"}</definedName>
    <definedName name="___n2" hidden="1">{#N/A,#N/A,FALSE,"PCOL"}</definedName>
    <definedName name="___OUT98" localSheetId="3" hidden="1">{#N/A,#N/A,TRUE,"Serviços"}</definedName>
    <definedName name="___OUT98" localSheetId="5" hidden="1">{#N/A,#N/A,TRUE,"Serviços"}</definedName>
    <definedName name="___OUT98" hidden="1">{#N/A,#N/A,TRUE,"Serviços"}</definedName>
    <definedName name="___PN10" localSheetId="3" hidden="1">{"'gráf jan00'!$A$1:$AK$41"}</definedName>
    <definedName name="___PN10" localSheetId="5" hidden="1">{"'gráf jan00'!$A$1:$AK$41"}</definedName>
    <definedName name="___PN10" hidden="1">{"'gráf jan00'!$A$1:$AK$41"}</definedName>
    <definedName name="___r" localSheetId="3" hidden="1">{#N/A,#N/A,FALSE,"PCOL"}</definedName>
    <definedName name="___r" localSheetId="5" hidden="1">{#N/A,#N/A,FALSE,"PCOL"}</definedName>
    <definedName name="___r" hidden="1">{#N/A,#N/A,FALSE,"PCOL"}</definedName>
    <definedName name="___v1" localSheetId="3" hidden="1">{"'REL CUSTODIF'!$B$1:$H$72"}</definedName>
    <definedName name="___v1" localSheetId="5" hidden="1">{"'REL CUSTODIF'!$B$1:$H$72"}</definedName>
    <definedName name="___v1" hidden="1">{"'REL CUSTODIF'!$B$1:$H$72"}</definedName>
    <definedName name="___x1" localSheetId="3" hidden="1">{"'REL CUSTODIF'!$B$1:$H$72"}</definedName>
    <definedName name="___x1" localSheetId="5" hidden="1">{"'REL CUSTODIF'!$B$1:$H$72"}</definedName>
    <definedName name="___x1" hidden="1">{"'REL CUSTODIF'!$B$1:$H$72"}</definedName>
    <definedName name="___x10" localSheetId="3" hidden="1">{"'REL CUSTODIF'!$B$1:$H$72"}</definedName>
    <definedName name="___x10" localSheetId="5" hidden="1">{"'REL CUSTODIF'!$B$1:$H$72"}</definedName>
    <definedName name="___x10" hidden="1">{"'REL CUSTODIF'!$B$1:$H$72"}</definedName>
    <definedName name="___x11" localSheetId="3" hidden="1">{"'REL CUSTODIF'!$B$1:$H$72"}</definedName>
    <definedName name="___x11" localSheetId="5" hidden="1">{"'REL CUSTODIF'!$B$1:$H$72"}</definedName>
    <definedName name="___x11" hidden="1">{"'REL CUSTODIF'!$B$1:$H$72"}</definedName>
    <definedName name="___x12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_x12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_x12" hidden="1">{#N/A,#N/A,FALSE,"Suprimentos";#N/A,#N/A,FALSE,"Medicina e Segurança";#N/A,#N/A,FALSE,"Administração";#N/A,#N/A,FALSE,"Meio Ambiente";#N/A,#N/A,FALSE,"Operação (Mina)";#N/A,#N/A,FALSE,"Operação (Porto)"}</definedName>
    <definedName name="___x13" localSheetId="3" hidden="1">{"'REL CUSTODIF'!$B$1:$H$72"}</definedName>
    <definedName name="___x13" localSheetId="5" hidden="1">{"'REL CUSTODIF'!$B$1:$H$72"}</definedName>
    <definedName name="___x13" hidden="1">{"'REL CUSTODIF'!$B$1:$H$72"}</definedName>
    <definedName name="___x2" localSheetId="3" hidden="1">{"'REL CUSTODIF'!$B$1:$H$72"}</definedName>
    <definedName name="___x2" localSheetId="5" hidden="1">{"'REL CUSTODIF'!$B$1:$H$72"}</definedName>
    <definedName name="___x2" hidden="1">{"'REL CUSTODIF'!$B$1:$H$72"}</definedName>
    <definedName name="___x20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_x20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_x20" hidden="1">{#N/A,#N/A,FALSE,"Suprimentos";#N/A,#N/A,FALSE,"Medicina e Segurança";#N/A,#N/A,FALSE,"Administração";#N/A,#N/A,FALSE,"Meio Ambiente";#N/A,#N/A,FALSE,"Operação (Mina)";#N/A,#N/A,FALSE,"Operação (Porto)"}</definedName>
    <definedName name="___x3" localSheetId="3" hidden="1">{"'REL CUSTODIF'!$B$1:$H$72"}</definedName>
    <definedName name="___x3" localSheetId="5" hidden="1">{"'REL CUSTODIF'!$B$1:$H$72"}</definedName>
    <definedName name="___x3" hidden="1">{"'REL CUSTODIF'!$B$1:$H$72"}</definedName>
    <definedName name="___x4" localSheetId="3" hidden="1">{"'REL CUSTODIF'!$B$1:$H$72"}</definedName>
    <definedName name="___x4" localSheetId="5" hidden="1">{"'REL CUSTODIF'!$B$1:$H$72"}</definedName>
    <definedName name="___x4" hidden="1">{"'REL CUSTODIF'!$B$1:$H$72"}</definedName>
    <definedName name="___x5" localSheetId="3" hidden="1">{"'REL CUSTODIF'!$B$1:$H$72"}</definedName>
    <definedName name="___x5" localSheetId="5" hidden="1">{"'REL CUSTODIF'!$B$1:$H$72"}</definedName>
    <definedName name="___x5" hidden="1">{"'REL CUSTODIF'!$B$1:$H$72"}</definedName>
    <definedName name="___x6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_x6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_x6" hidden="1">{#N/A,#N/A,FALSE,"Suprimentos";#N/A,#N/A,FALSE,"Medicina e Segurança";#N/A,#N/A,FALSE,"Administração";#N/A,#N/A,FALSE,"Meio Ambiente";#N/A,#N/A,FALSE,"Operação (Mina)";#N/A,#N/A,FALSE,"Operação (Porto)"}</definedName>
    <definedName name="___x7" localSheetId="3" hidden="1">{"'REL CUSTODIF'!$B$1:$H$72"}</definedName>
    <definedName name="___x7" localSheetId="5" hidden="1">{"'REL CUSTODIF'!$B$1:$H$72"}</definedName>
    <definedName name="___x7" hidden="1">{"'REL CUSTODIF'!$B$1:$H$72"}</definedName>
    <definedName name="___x8" localSheetId="3" hidden="1">{"'REL CUSTODIF'!$B$1:$H$72"}</definedName>
    <definedName name="___x8" localSheetId="5" hidden="1">{"'REL CUSTODIF'!$B$1:$H$72"}</definedName>
    <definedName name="___x8" hidden="1">{"'REL CUSTODIF'!$B$1:$H$72"}</definedName>
    <definedName name="__123Graph_A" hidden="1">#REF!</definedName>
    <definedName name="__123Graph_B" hidden="1">#REF!</definedName>
    <definedName name="__123Graph_X" hidden="1">#REF!</definedName>
    <definedName name="__ago1" localSheetId="3" hidden="1">{"'gráf jan00'!$A$1:$AK$41"}</definedName>
    <definedName name="__ago1" localSheetId="5" hidden="1">{"'gráf jan00'!$A$1:$AK$41"}</definedName>
    <definedName name="__ago1" hidden="1">{"'gráf jan00'!$A$1:$AK$41"}</definedName>
    <definedName name="__ago10" localSheetId="3" hidden="1">{"'gráf jan00'!$A$1:$AK$41"}</definedName>
    <definedName name="__ago10" localSheetId="5" hidden="1">{"'gráf jan00'!$A$1:$AK$41"}</definedName>
    <definedName name="__ago10" hidden="1">{"'gráf jan00'!$A$1:$AK$41"}</definedName>
    <definedName name="__ago2" localSheetId="3" hidden="1">{"'gráf jan00'!$A$1:$AK$41"}</definedName>
    <definedName name="__ago2" localSheetId="5" hidden="1">{"'gráf jan00'!$A$1:$AK$41"}</definedName>
    <definedName name="__ago2" hidden="1">{"'gráf jan00'!$A$1:$AK$41"}</definedName>
    <definedName name="__ago3" localSheetId="3" hidden="1">{"'gráf jan00'!$A$1:$AK$41"}</definedName>
    <definedName name="__ago3" localSheetId="5" hidden="1">{"'gráf jan00'!$A$1:$AK$41"}</definedName>
    <definedName name="__ago3" hidden="1">{"'gráf jan00'!$A$1:$AK$41"}</definedName>
    <definedName name="__ago4" localSheetId="3" hidden="1">{"'gráf jan00'!$A$1:$AK$41"}</definedName>
    <definedName name="__ago4" localSheetId="5" hidden="1">{"'gráf jan00'!$A$1:$AK$41"}</definedName>
    <definedName name="__ago4" hidden="1">{"'gráf jan00'!$A$1:$AK$41"}</definedName>
    <definedName name="__ago5" localSheetId="3" hidden="1">{"'gráf jan00'!$A$1:$AK$41"}</definedName>
    <definedName name="__ago5" localSheetId="5" hidden="1">{"'gráf jan00'!$A$1:$AK$41"}</definedName>
    <definedName name="__ago5" hidden="1">{"'gráf jan00'!$A$1:$AK$41"}</definedName>
    <definedName name="__ago6" localSheetId="3" hidden="1">{"'gráf jan00'!$A$1:$AK$41"}</definedName>
    <definedName name="__ago6" localSheetId="5" hidden="1">{"'gráf jan00'!$A$1:$AK$41"}</definedName>
    <definedName name="__ago6" hidden="1">{"'gráf jan00'!$A$1:$AK$41"}</definedName>
    <definedName name="__ago7" localSheetId="3" hidden="1">{"'gráf jan00'!$A$1:$AK$41"}</definedName>
    <definedName name="__ago7" localSheetId="5" hidden="1">{"'gráf jan00'!$A$1:$AK$41"}</definedName>
    <definedName name="__ago7" hidden="1">{"'gráf jan00'!$A$1:$AK$41"}</definedName>
    <definedName name="__ago8" localSheetId="3" hidden="1">{"'gráf jan00'!$A$1:$AK$41"}</definedName>
    <definedName name="__ago8" localSheetId="5" hidden="1">{"'gráf jan00'!$A$1:$AK$41"}</definedName>
    <definedName name="__ago8" hidden="1">{"'gráf jan00'!$A$1:$AK$41"}</definedName>
    <definedName name="__ago9" localSheetId="3" hidden="1">{"'gráf jan00'!$A$1:$AK$41"}</definedName>
    <definedName name="__ago9" localSheetId="5" hidden="1">{"'gráf jan00'!$A$1:$AK$41"}</definedName>
    <definedName name="__ago9" hidden="1">{"'gráf jan00'!$A$1:$AK$41"}</definedName>
    <definedName name="__ago99999" localSheetId="3" hidden="1">{"'gráf jan00'!$A$1:$AK$41"}</definedName>
    <definedName name="__ago99999" localSheetId="5" hidden="1">{"'gráf jan00'!$A$1:$AK$41"}</definedName>
    <definedName name="__ago99999" hidden="1">{"'gráf jan00'!$A$1:$AK$41"}</definedName>
    <definedName name="__arq1" localSheetId="3" hidden="1">{"'REL CUSTODIF'!$B$1:$H$72"}</definedName>
    <definedName name="__arq1" localSheetId="5" hidden="1">{"'REL CUSTODIF'!$B$1:$H$72"}</definedName>
    <definedName name="__arq1" hidden="1">{"'REL CUSTODIF'!$B$1:$H$72"}</definedName>
    <definedName name="__ba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C">#REF!</definedName>
    <definedName name="__COD1">#REF!</definedName>
    <definedName name="__COD10">#REF!</definedName>
    <definedName name="__COD11">#REF!</definedName>
    <definedName name="__COD13">#REF!</definedName>
    <definedName name="__COD138">#REF!</definedName>
    <definedName name="__COD139">#REF!</definedName>
    <definedName name="__COD14">#REF!</definedName>
    <definedName name="__COD140">#REF!</definedName>
    <definedName name="__COD144">#REF!</definedName>
    <definedName name="__COD146">#REF!</definedName>
    <definedName name="__COD149">#REF!</definedName>
    <definedName name="__COD152">#REF!</definedName>
    <definedName name="__COD154">#REF!</definedName>
    <definedName name="__COD155">#REF!</definedName>
    <definedName name="__COD156">#REF!</definedName>
    <definedName name="__COD157">#REF!</definedName>
    <definedName name="__COD158">#REF!</definedName>
    <definedName name="__COD16">#REF!</definedName>
    <definedName name="__COD161">#REF!</definedName>
    <definedName name="__COD166">#REF!</definedName>
    <definedName name="__COD168">#REF!</definedName>
    <definedName name="__COD169">#REF!</definedName>
    <definedName name="__COD17">#REF!</definedName>
    <definedName name="__COD170">#REF!</definedName>
    <definedName name="__COD171">#REF!</definedName>
    <definedName name="__COD172">#REF!</definedName>
    <definedName name="__COD173">#REF!</definedName>
    <definedName name="__COD174">#REF!</definedName>
    <definedName name="__COD175">#REF!</definedName>
    <definedName name="__COD177">#REF!</definedName>
    <definedName name="__COD178">#REF!</definedName>
    <definedName name="__COD179">#REF!</definedName>
    <definedName name="__COD180">#REF!</definedName>
    <definedName name="__COD184">#REF!</definedName>
    <definedName name="__COD189">#REF!</definedName>
    <definedName name="__COD191">#REF!</definedName>
    <definedName name="__COD192">#REF!</definedName>
    <definedName name="__COD195">#REF!</definedName>
    <definedName name="__COD198">#REF!</definedName>
    <definedName name="__COD199">#REF!</definedName>
    <definedName name="__COD200">#REF!</definedName>
    <definedName name="__COD21">#REF!</definedName>
    <definedName name="__COD23">#REF!</definedName>
    <definedName name="__COD24">#REF!</definedName>
    <definedName name="__COD28">#REF!</definedName>
    <definedName name="__COD29">#REF!</definedName>
    <definedName name="__COD32">#REF!</definedName>
    <definedName name="__COD35">#REF!</definedName>
    <definedName name="__COD36">#REF!</definedName>
    <definedName name="__COD37">#REF!</definedName>
    <definedName name="__COD41">#REF!</definedName>
    <definedName name="__COD42">#REF!</definedName>
    <definedName name="__COD43">#REF!</definedName>
    <definedName name="__COD44">#REF!</definedName>
    <definedName name="__COD46">#REF!</definedName>
    <definedName name="__COD47">#REF!</definedName>
    <definedName name="__COD49">#REF!</definedName>
    <definedName name="__COD50">#REF!</definedName>
    <definedName name="__COD55">#REF!</definedName>
    <definedName name="__COD60">#REF!</definedName>
    <definedName name="__COD62">#REF!</definedName>
    <definedName name="__COD65">#REF!</definedName>
    <definedName name="__COD66">#REF!</definedName>
    <definedName name="__COD68">#REF!</definedName>
    <definedName name="__COD8">#REF!</definedName>
    <definedName name="__D1" localSheetId="3" hidden="1">{#N/A,#N/A,FALSE,"PCOL"}</definedName>
    <definedName name="__D1" localSheetId="5" hidden="1">{#N/A,#N/A,FALSE,"PCOL"}</definedName>
    <definedName name="__D1" hidden="1">{#N/A,#N/A,FALSE,"PCOL"}</definedName>
    <definedName name="__DEF2" localSheetId="3" hidden="1">{#N/A,#N/A,FALSE,"DEF1";#N/A,#N/A,FALSE,"DEF2";#N/A,#N/A,FALSE,"DEF3"}</definedName>
    <definedName name="__DEF2" localSheetId="5" hidden="1">{#N/A,#N/A,FALSE,"DEF1";#N/A,#N/A,FALSE,"DEF2";#N/A,#N/A,FALSE,"DEF3"}</definedName>
    <definedName name="__DEF2" hidden="1">{#N/A,#N/A,FALSE,"DEF1";#N/A,#N/A,FALSE,"DEF2";#N/A,#N/A,FALSE,"DEF3"}</definedName>
    <definedName name="__DEF3" localSheetId="3" hidden="1">{#N/A,#N/A,FALSE,"DEF1";#N/A,#N/A,FALSE,"DEF2";#N/A,#N/A,FALSE,"DEF3"}</definedName>
    <definedName name="__DEF3" localSheetId="5" hidden="1">{#N/A,#N/A,FALSE,"DEF1";#N/A,#N/A,FALSE,"DEF2";#N/A,#N/A,FALSE,"DEF3"}</definedName>
    <definedName name="__DEF3" hidden="1">{#N/A,#N/A,FALSE,"DEF1";#N/A,#N/A,FALSE,"DEF2";#N/A,#N/A,FALSE,"DEF3"}</definedName>
    <definedName name="__efc10" localSheetId="3" hidden="1">{"'RR'!$A$2:$E$81"}</definedName>
    <definedName name="__efc10" localSheetId="5" hidden="1">{"'RR'!$A$2:$E$81"}</definedName>
    <definedName name="__efc10" hidden="1">{"'RR'!$A$2:$E$81"}</definedName>
    <definedName name="__EFC2" localSheetId="3" hidden="1">{"'RR'!$A$2:$E$81"}</definedName>
    <definedName name="__EFC2" localSheetId="5" hidden="1">{"'RR'!$A$2:$E$81"}</definedName>
    <definedName name="__EFC2" hidden="1">{"'RR'!$A$2:$E$81"}</definedName>
    <definedName name="__EFC3" localSheetId="3" hidden="1">{"'RR'!$A$2:$E$81"}</definedName>
    <definedName name="__EFC3" localSheetId="5" hidden="1">{"'RR'!$A$2:$E$81"}</definedName>
    <definedName name="__EFC3" hidden="1">{"'RR'!$A$2:$E$81"}</definedName>
    <definedName name="__EFC4" localSheetId="3" hidden="1">{"'RR'!$A$2:$E$81"}</definedName>
    <definedName name="__EFC4" localSheetId="5" hidden="1">{"'RR'!$A$2:$E$81"}</definedName>
    <definedName name="__EFC4" hidden="1">{"'RR'!$A$2:$E$81"}</definedName>
    <definedName name="__ESP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99000">#REF!</definedName>
    <definedName name="__ffp16" localSheetId="3" hidden="1">{"'gráf jan00'!$A$1:$AK$41"}</definedName>
    <definedName name="__ffp16" localSheetId="5" hidden="1">{"'gráf jan00'!$A$1:$AK$41"}</definedName>
    <definedName name="__ffp16" hidden="1">{"'gráf jan00'!$A$1:$AK$41"}</definedName>
    <definedName name="__ffp4589" localSheetId="3" hidden="1">{"'gráf jan00'!$A$1:$AK$41"}</definedName>
    <definedName name="__ffp4589" localSheetId="5" hidden="1">{"'gráf jan00'!$A$1:$AK$41"}</definedName>
    <definedName name="__ffp4589" hidden="1">{"'gráf jan00'!$A$1:$AK$41"}</definedName>
    <definedName name="__jun04" localSheetId="3" hidden="1">{"'gráf jan00'!$A$1:$AK$41"}</definedName>
    <definedName name="__jun04" localSheetId="5" hidden="1">{"'gráf jan00'!$A$1:$AK$41"}</definedName>
    <definedName name="__jun04" hidden="1">{"'gráf jan00'!$A$1:$AK$41"}</definedName>
    <definedName name="__ki2" localSheetId="3" hidden="1">{#N/A,#N/A,FALSE,"PCOL"}</definedName>
    <definedName name="__ki2" localSheetId="5" hidden="1">{#N/A,#N/A,FALSE,"PCOL"}</definedName>
    <definedName name="__ki2" hidden="1">{#N/A,#N/A,FALSE,"PCOL"}</definedName>
    <definedName name="__kub1">#REF!</definedName>
    <definedName name="__kub2">#REF!</definedName>
    <definedName name="__LUP1">#N/A</definedName>
    <definedName name="__LUP2">#N/A</definedName>
    <definedName name="__MOA1" localSheetId="3" hidden="1">{#N/A,#N/A,FALSE,"DEF1";#N/A,#N/A,FALSE,"DEF2";#N/A,#N/A,FALSE,"DEF3"}</definedName>
    <definedName name="__MOA1" localSheetId="5" hidden="1">{#N/A,#N/A,FALSE,"DEF1";#N/A,#N/A,FALSE,"DEF2";#N/A,#N/A,FALSE,"DEF3"}</definedName>
    <definedName name="__MOA1" hidden="1">{#N/A,#N/A,FALSE,"DEF1";#N/A,#N/A,FALSE,"DEF2";#N/A,#N/A,FALSE,"DEF3"}</definedName>
    <definedName name="__MOA2" localSheetId="3" hidden="1">{#N/A,#N/A,FALSE,"DEF1";#N/A,#N/A,FALSE,"DEF2";#N/A,#N/A,FALSE,"DEF3"}</definedName>
    <definedName name="__MOA2" localSheetId="5" hidden="1">{#N/A,#N/A,FALSE,"DEF1";#N/A,#N/A,FALSE,"DEF2";#N/A,#N/A,FALSE,"DEF3"}</definedName>
    <definedName name="__MOA2" hidden="1">{#N/A,#N/A,FALSE,"DEF1";#N/A,#N/A,FALSE,"DEF2";#N/A,#N/A,FALSE,"DEF3"}</definedName>
    <definedName name="__n2" localSheetId="3" hidden="1">{#N/A,#N/A,FALSE,"PCOL"}</definedName>
    <definedName name="__n2" localSheetId="5" hidden="1">{#N/A,#N/A,FALSE,"PCOL"}</definedName>
    <definedName name="__n2" hidden="1">{#N/A,#N/A,FALSE,"PCOL"}</definedName>
    <definedName name="__OUT98" localSheetId="3" hidden="1">{#N/A,#N/A,TRUE,"Serviços"}</definedName>
    <definedName name="__OUT98" localSheetId="5" hidden="1">{#N/A,#N/A,TRUE,"Serviços"}</definedName>
    <definedName name="__OUT98" hidden="1">{#N/A,#N/A,TRUE,"Serviços"}</definedName>
    <definedName name="__PN10" localSheetId="3" hidden="1">{"'gráf jan00'!$A$1:$AK$41"}</definedName>
    <definedName name="__PN10" localSheetId="5" hidden="1">{"'gráf jan00'!$A$1:$AK$41"}</definedName>
    <definedName name="__PN10" hidden="1">{"'gráf jan00'!$A$1:$AK$41"}</definedName>
    <definedName name="__R">#N/A</definedName>
    <definedName name="__v1" localSheetId="3" hidden="1">{"'REL CUSTODIF'!$B$1:$H$72"}</definedName>
    <definedName name="__v1" localSheetId="5" hidden="1">{"'REL CUSTODIF'!$B$1:$H$72"}</definedName>
    <definedName name="__v1" hidden="1">{"'REL CUSTODIF'!$B$1:$H$72"}</definedName>
    <definedName name="__x1" localSheetId="3" hidden="1">{"'REL CUSTODIF'!$B$1:$H$72"}</definedName>
    <definedName name="__x1" localSheetId="5" hidden="1">{"'REL CUSTODIF'!$B$1:$H$72"}</definedName>
    <definedName name="__x1" hidden="1">{"'REL CUSTODIF'!$B$1:$H$72"}</definedName>
    <definedName name="__x10" localSheetId="3" hidden="1">{"'REL CUSTODIF'!$B$1:$H$72"}</definedName>
    <definedName name="__x10" localSheetId="5" hidden="1">{"'REL CUSTODIF'!$B$1:$H$72"}</definedName>
    <definedName name="__x10" hidden="1">{"'REL CUSTODIF'!$B$1:$H$72"}</definedName>
    <definedName name="__x11" localSheetId="3" hidden="1">{"'REL CUSTODIF'!$B$1:$H$72"}</definedName>
    <definedName name="__x11" localSheetId="5" hidden="1">{"'REL CUSTODIF'!$B$1:$H$72"}</definedName>
    <definedName name="__x11" hidden="1">{"'REL CUSTODIF'!$B$1:$H$72"}</definedName>
    <definedName name="__x12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x12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x12" hidden="1">{#N/A,#N/A,FALSE,"Suprimentos";#N/A,#N/A,FALSE,"Medicina e Segurança";#N/A,#N/A,FALSE,"Administração";#N/A,#N/A,FALSE,"Meio Ambiente";#N/A,#N/A,FALSE,"Operação (Mina)";#N/A,#N/A,FALSE,"Operação (Porto)"}</definedName>
    <definedName name="__x13" localSheetId="3" hidden="1">{"'REL CUSTODIF'!$B$1:$H$72"}</definedName>
    <definedName name="__x13" localSheetId="5" hidden="1">{"'REL CUSTODIF'!$B$1:$H$72"}</definedName>
    <definedName name="__x13" hidden="1">{"'REL CUSTODIF'!$B$1:$H$72"}</definedName>
    <definedName name="__x2" localSheetId="3" hidden="1">{"'REL CUSTODIF'!$B$1:$H$72"}</definedName>
    <definedName name="__x2" localSheetId="5" hidden="1">{"'REL CUSTODIF'!$B$1:$H$72"}</definedName>
    <definedName name="__x2" hidden="1">{"'REL CUSTODIF'!$B$1:$H$72"}</definedName>
    <definedName name="__x20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x20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x20" hidden="1">{#N/A,#N/A,FALSE,"Suprimentos";#N/A,#N/A,FALSE,"Medicina e Segurança";#N/A,#N/A,FALSE,"Administração";#N/A,#N/A,FALSE,"Meio Ambiente";#N/A,#N/A,FALSE,"Operação (Mina)";#N/A,#N/A,FALSE,"Operação (Porto)"}</definedName>
    <definedName name="__x3" localSheetId="3" hidden="1">{"'REL CUSTODIF'!$B$1:$H$72"}</definedName>
    <definedName name="__x3" localSheetId="5" hidden="1">{"'REL CUSTODIF'!$B$1:$H$72"}</definedName>
    <definedName name="__x3" hidden="1">{"'REL CUSTODIF'!$B$1:$H$72"}</definedName>
    <definedName name="__x4" localSheetId="3" hidden="1">{"'REL CUSTODIF'!$B$1:$H$72"}</definedName>
    <definedName name="__x4" localSheetId="5" hidden="1">{"'REL CUSTODIF'!$B$1:$H$72"}</definedName>
    <definedName name="__x4" hidden="1">{"'REL CUSTODIF'!$B$1:$H$72"}</definedName>
    <definedName name="__x5" localSheetId="3" hidden="1">{"'REL CUSTODIF'!$B$1:$H$72"}</definedName>
    <definedName name="__x5" localSheetId="5" hidden="1">{"'REL CUSTODIF'!$B$1:$H$72"}</definedName>
    <definedName name="__x5" hidden="1">{"'REL CUSTODIF'!$B$1:$H$72"}</definedName>
    <definedName name="__x6" localSheetId="3" hidden="1">{#N/A,#N/A,FALSE,"Suprimentos";#N/A,#N/A,FALSE,"Medicina e Segurança";#N/A,#N/A,FALSE,"Administração";#N/A,#N/A,FALSE,"Meio Ambiente";#N/A,#N/A,FALSE,"Operação (Mina)";#N/A,#N/A,FALSE,"Operação (Porto)"}</definedName>
    <definedName name="__x6" localSheetId="5" hidden="1">{#N/A,#N/A,FALSE,"Suprimentos";#N/A,#N/A,FALSE,"Medicina e Segurança";#N/A,#N/A,FALSE,"Administração";#N/A,#N/A,FALSE,"Meio Ambiente";#N/A,#N/A,FALSE,"Operação (Mina)";#N/A,#N/A,FALSE,"Operação (Porto)"}</definedName>
    <definedName name="__x6" hidden="1">{#N/A,#N/A,FALSE,"Suprimentos";#N/A,#N/A,FALSE,"Medicina e Segurança";#N/A,#N/A,FALSE,"Administração";#N/A,#N/A,FALSE,"Meio Ambiente";#N/A,#N/A,FALSE,"Operação (Mina)";#N/A,#N/A,FALSE,"Operação (Porto)"}</definedName>
    <definedName name="__x7" localSheetId="3" hidden="1">{"'REL CUSTODIF'!$B$1:$H$72"}</definedName>
    <definedName name="__x7" localSheetId="5" hidden="1">{"'REL CUSTODIF'!$B$1:$H$72"}</definedName>
    <definedName name="__x7" hidden="1">{"'REL CUSTODIF'!$B$1:$H$72"}</definedName>
    <definedName name="__x8" localSheetId="3" hidden="1">{"'REL CUSTODIF'!$B$1:$H$72"}</definedName>
    <definedName name="__x8" localSheetId="5" hidden="1">{"'REL CUSTODIF'!$B$1:$H$72"}</definedName>
    <definedName name="__x8" hidden="1">{"'REL CUSTODIF'!$B$1:$H$72"}</definedName>
    <definedName name="__xlfn.AVERAGEIF" hidden="1">#NAME?</definedName>
    <definedName name="__xlfn.RTD" hidden="1">#NAME?</definedName>
    <definedName name="__xlnm.Print_Area_1">#REF!</definedName>
    <definedName name="__xlnm.Print_Area_10">#REF!</definedName>
    <definedName name="__xlnm.Print_Area_11">#REF!</definedName>
    <definedName name="__xlnm.Print_Area_12">#REF!</definedName>
    <definedName name="__xlnm.Print_Area_13">#REF!</definedName>
    <definedName name="__xlnm.Print_Area_14">#REF!</definedName>
    <definedName name="__xlnm.Print_Area_15">#REF!</definedName>
    <definedName name="__xlnm.Print_Area_16">#REF!</definedName>
    <definedName name="__xlnm.Print_Area_18">#REF!</definedName>
    <definedName name="__xlnm.Print_Area_19">#REF!</definedName>
    <definedName name="__xlnm.Print_Area_2">#N/A</definedName>
    <definedName name="__xlnm.Print_Area_20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0">#REF!</definedName>
    <definedName name="_01">#N/A</definedName>
    <definedName name="_02">#N/A</definedName>
    <definedName name="_03">#N/A</definedName>
    <definedName name="_04">#N/A</definedName>
    <definedName name="_05">#N/A</definedName>
    <definedName name="_06">#N/A</definedName>
    <definedName name="_07">#N/A</definedName>
    <definedName name="_08">#N/A</definedName>
    <definedName name="_09">#N/A</definedName>
    <definedName name="_1">#REF!</definedName>
    <definedName name="_1____MÃO_DE_OBRA_DIRETA">#REF!</definedName>
    <definedName name="_1__123Graph_ACHART_1" hidden="1">#REF!</definedName>
    <definedName name="_10">#N/A</definedName>
    <definedName name="_11">#N/A</definedName>
    <definedName name="_11__123Graph_ECHART_1" hidden="1">#REF!</definedName>
    <definedName name="_12">#N/A</definedName>
    <definedName name="_12Excel_BuiltIn_Print_Titles_2_1">#REF!</definedName>
    <definedName name="_13">#N/A</definedName>
    <definedName name="_13.1___MATERIAL_CONSUMO">#REF!</definedName>
    <definedName name="_13.2___MATERIAL_APLICAÇÃO">#REF!</definedName>
    <definedName name="_13.3__FERRAMENTAS">#REF!</definedName>
    <definedName name="_13____MATERIAIS_E_FERRAMENTAS">#REF!</definedName>
    <definedName name="_13__123Graph_FCHART_1" hidden="1">#REF!</definedName>
    <definedName name="_14">#N/A</definedName>
    <definedName name="_14____MATERIAL_DE_SEGURANÇA">#REF!</definedName>
    <definedName name="_15">#N/A</definedName>
    <definedName name="_15____DIVERSOS">#REF!</definedName>
    <definedName name="_15__123Graph_XCHART_3" hidden="1">#REF!</definedName>
    <definedName name="_16">#N/A</definedName>
    <definedName name="_16.1___EQUIPAMENTOS_MAIORES">#REF!</definedName>
    <definedName name="_16.2___EQUIPAMENTOS_MENORES">#REF!</definedName>
    <definedName name="_16.3___VEÍCULOS">#REF!</definedName>
    <definedName name="_16.4___COMBÚSTIVEL">#REF!</definedName>
    <definedName name="_16.5___EQUIPAMENTOS_DE_ESCRITÓRIO">#REF!</definedName>
    <definedName name="_16___EQUIPAMENTOS">#REF!</definedName>
    <definedName name="_17">#N/A</definedName>
    <definedName name="_17.1_MENSALISTA">#REF!</definedName>
    <definedName name="_17.2___HORISTA">#REF!</definedName>
    <definedName name="_17___DIREÇÃO_TÉCNICA_ADMINISTRATIVA">#REF!</definedName>
    <definedName name="_18">#N/A</definedName>
    <definedName name="_18___CANTEIRO___INSTALAÇÃO___MANUTENÇÃO">#REF!</definedName>
    <definedName name="_19">#N/A</definedName>
    <definedName name="_19___TRANSPORTE_DE_PESSOAL">#REF!</definedName>
    <definedName name="_1Excel_BuiltIn_Print_Titles_1_1">#REF!</definedName>
    <definedName name="_1Sin_nombre">#REF!</definedName>
    <definedName name="_2">#REF!</definedName>
    <definedName name="_2__123Graph_ACHART_1" hidden="1">#REF!</definedName>
    <definedName name="_2__123Graph_ACHART_2" hidden="1">#REF!</definedName>
    <definedName name="_2__123Graph_ACHART_3" hidden="1">#REF!</definedName>
    <definedName name="_2__123Graph_BCHART_1" hidden="1">#REF!</definedName>
    <definedName name="_20">#N/A</definedName>
    <definedName name="_20___MOBILIZAÇÃO___DESMOBILIZAÇÃO">#REF!</definedName>
    <definedName name="_21">#N/A</definedName>
    <definedName name="_21___REFEIÇÃO_REFEITÓRIO">#REF!</definedName>
    <definedName name="_22">#N/A</definedName>
    <definedName name="_22___VÁRIOS">#REF!</definedName>
    <definedName name="_23">#N/A</definedName>
    <definedName name="_23___SERVIÇOS_DE_TERCEIROS">#REF!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3__123Graph_ACHART_3" hidden="1">#REF!</definedName>
    <definedName name="_3__123Graph_BCHART_1" hidden="1">#REF!</definedName>
    <definedName name="_3__123Graph_XCHART_1" hidden="1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4__123Graph_CCHART_1" hidden="1">#REF!</definedName>
    <definedName name="_4__123Graph_XCHART_2" hidden="1">#REF!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4Excel_BuiltIn_Print_Area_2_1_1">#REF!</definedName>
    <definedName name="_5__123Graph_ACHART_3" hidden="1">#REF!</definedName>
    <definedName name="_5__123Graph_BCHART_1" hidden="1">#REF!</definedName>
    <definedName name="_5__123Graph_DCHART_1" hidden="1">#REF!</definedName>
    <definedName name="_50">#N/A</definedName>
    <definedName name="_51">#N/A</definedName>
    <definedName name="_52">#N/A</definedName>
    <definedName name="_53">#N/A</definedName>
    <definedName name="_6__123Graph_ECHART_1" hidden="1">#REF!</definedName>
    <definedName name="_7__123Graph_CCHART_1" hidden="1">#REF!</definedName>
    <definedName name="_7__123Graph_FCHART_1" hidden="1">#REF!</definedName>
    <definedName name="_8__123Graph_XCHART_3" hidden="1">#REF!</definedName>
    <definedName name="_8Excel_BuiltIn_Print_Titles_1_1">#REF!</definedName>
    <definedName name="_9__123Graph_ACHART_3" hidden="1">#REF!</definedName>
    <definedName name="_9__123Graph_DCHART_1" hidden="1">#REF!</definedName>
    <definedName name="_ago1" localSheetId="3" hidden="1">{"'gráf jan00'!$A$1:$AK$41"}</definedName>
    <definedName name="_ago1" localSheetId="5" hidden="1">{"'gráf jan00'!$A$1:$AK$41"}</definedName>
    <definedName name="_ago1" hidden="1">{"'gráf jan00'!$A$1:$AK$41"}</definedName>
    <definedName name="_ago10" localSheetId="3" hidden="1">{"'gráf jan00'!$A$1:$AK$41"}</definedName>
    <definedName name="_ago10" localSheetId="5" hidden="1">{"'gráf jan00'!$A$1:$AK$41"}</definedName>
    <definedName name="_ago10" hidden="1">{"'gráf jan00'!$A$1:$AK$41"}</definedName>
    <definedName name="_ago2" localSheetId="3" hidden="1">{"'gráf jan00'!$A$1:$AK$41"}</definedName>
    <definedName name="_ago2" localSheetId="5" hidden="1">{"'gráf jan00'!$A$1:$AK$41"}</definedName>
    <definedName name="_ago2" hidden="1">{"'gráf jan00'!$A$1:$AK$41"}</definedName>
    <definedName name="_ago3" localSheetId="3" hidden="1">{"'gráf jan00'!$A$1:$AK$41"}</definedName>
    <definedName name="_ago3" localSheetId="5" hidden="1">{"'gráf jan00'!$A$1:$AK$41"}</definedName>
    <definedName name="_ago3" hidden="1">{"'gráf jan00'!$A$1:$AK$41"}</definedName>
    <definedName name="_ago4" localSheetId="3" hidden="1">{"'gráf jan00'!$A$1:$AK$41"}</definedName>
    <definedName name="_ago4" localSheetId="5" hidden="1">{"'gráf jan00'!$A$1:$AK$41"}</definedName>
    <definedName name="_ago4" hidden="1">{"'gráf jan00'!$A$1:$AK$41"}</definedName>
    <definedName name="_ago5" localSheetId="3" hidden="1">{"'gráf jan00'!$A$1:$AK$41"}</definedName>
    <definedName name="_ago5" localSheetId="5" hidden="1">{"'gráf jan00'!$A$1:$AK$41"}</definedName>
    <definedName name="_ago5" hidden="1">{"'gráf jan00'!$A$1:$AK$41"}</definedName>
    <definedName name="_ago6" localSheetId="3" hidden="1">{"'gráf jan00'!$A$1:$AK$41"}</definedName>
    <definedName name="_ago6" localSheetId="5" hidden="1">{"'gráf jan00'!$A$1:$AK$41"}</definedName>
    <definedName name="_ago6" hidden="1">{"'gráf jan00'!$A$1:$AK$41"}</definedName>
    <definedName name="_ago7" localSheetId="3" hidden="1">{"'gráf jan00'!$A$1:$AK$41"}</definedName>
    <definedName name="_ago7" localSheetId="5" hidden="1">{"'gráf jan00'!$A$1:$AK$41"}</definedName>
    <definedName name="_ago7" hidden="1">{"'gráf jan00'!$A$1:$AK$41"}</definedName>
    <definedName name="_ago8" localSheetId="3" hidden="1">{"'gráf jan00'!$A$1:$AK$41"}</definedName>
    <definedName name="_ago8" localSheetId="5" hidden="1">{"'gráf jan00'!$A$1:$AK$41"}</definedName>
    <definedName name="_ago8" hidden="1">{"'gráf jan00'!$A$1:$AK$41"}</definedName>
    <definedName name="_ago9" localSheetId="3" hidden="1">{"'gráf jan00'!$A$1:$AK$41"}</definedName>
    <definedName name="_ago9" localSheetId="5" hidden="1">{"'gráf jan00'!$A$1:$AK$41"}</definedName>
    <definedName name="_ago9" hidden="1">{"'gráf jan00'!$A$1:$AK$41"}</definedName>
    <definedName name="_ago99999" localSheetId="3" hidden="1">{"'gráf jan00'!$A$1:$AK$41"}</definedName>
    <definedName name="_ago99999" localSheetId="5" hidden="1">{"'gráf jan00'!$A$1:$AK$41"}</definedName>
    <definedName name="_ago99999" hidden="1">{"'gráf jan00'!$A$1:$AK$41"}</definedName>
    <definedName name="_arq1" localSheetId="3" hidden="1">{"'REL CUSTODIF'!$B$1:$H$72"}</definedName>
    <definedName name="_arq1" localSheetId="5" hidden="1">{"'REL CUSTODIF'!$B$1:$H$72"}</definedName>
    <definedName name="_arq1" hidden="1">{"'REL CUSTODIF'!$B$1:$H$72"}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ATU9">#REF!</definedName>
    <definedName name="_AUX2">#REF!</definedName>
    <definedName name="_ba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a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bbbbbb">#REF!</definedName>
    <definedName name="_br4">#REF!</definedName>
    <definedName name="_C">#REF!</definedName>
    <definedName name="_cab1">#REF!</definedName>
    <definedName name="_cab2">#REF!</definedName>
    <definedName name="_cab3">#REF!</definedName>
    <definedName name="_cab4">#REF!</definedName>
    <definedName name="_cab5">#REF!</definedName>
    <definedName name="_cab6">#REF!</definedName>
    <definedName name="_cab7">#REF!</definedName>
    <definedName name="_COD1">#REF!</definedName>
    <definedName name="_COD10">#REF!</definedName>
    <definedName name="_COD11">#REF!</definedName>
    <definedName name="_COD111111">#REF!</definedName>
    <definedName name="_COD1111111">#REF!</definedName>
    <definedName name="_COD13">#REF!</definedName>
    <definedName name="_COD138">#REF!</definedName>
    <definedName name="_COD140">#REF!</definedName>
    <definedName name="_COD144">#REF!</definedName>
    <definedName name="_COD146">#REF!</definedName>
    <definedName name="_COD149">#REF!</definedName>
    <definedName name="_COD152">#REF!</definedName>
    <definedName name="_COD154">#REF!</definedName>
    <definedName name="_COD155">#REF!</definedName>
    <definedName name="_COD156">#REF!</definedName>
    <definedName name="_COD157">#REF!</definedName>
    <definedName name="_COD158">#REF!</definedName>
    <definedName name="_COD16">#REF!</definedName>
    <definedName name="_COD161">#REF!</definedName>
    <definedName name="_COD166">#REF!</definedName>
    <definedName name="_COD168">#REF!</definedName>
    <definedName name="_COD169">#REF!</definedName>
    <definedName name="_COD17">#REF!</definedName>
    <definedName name="_COD170">#REF!</definedName>
    <definedName name="_COD171">#REF!</definedName>
    <definedName name="_COD172">#REF!</definedName>
    <definedName name="_COD173">#REF!</definedName>
    <definedName name="_COD174">#REF!</definedName>
    <definedName name="_COD175">#REF!</definedName>
    <definedName name="_COD177">#REF!</definedName>
    <definedName name="_COD178">#REF!</definedName>
    <definedName name="_COD179">#REF!</definedName>
    <definedName name="_COD180">#REF!</definedName>
    <definedName name="_COD184">#REF!</definedName>
    <definedName name="_COD189">#REF!</definedName>
    <definedName name="_COD191">#REF!</definedName>
    <definedName name="_COD192">#REF!</definedName>
    <definedName name="_COD195">#REF!</definedName>
    <definedName name="_COD198">#REF!</definedName>
    <definedName name="_COD199">#REF!</definedName>
    <definedName name="_COD200">#REF!</definedName>
    <definedName name="_COD21">#REF!</definedName>
    <definedName name="_COD23">#REF!</definedName>
    <definedName name="_COD24">#REF!</definedName>
    <definedName name="_COD28">#REF!</definedName>
    <definedName name="_COD29">#REF!</definedName>
    <definedName name="_COD32">#REF!</definedName>
    <definedName name="_COD35">#REF!</definedName>
    <definedName name="_COD36">#REF!</definedName>
    <definedName name="_COD37">#REF!</definedName>
    <definedName name="_COD41">#REF!</definedName>
    <definedName name="_COD42">#REF!</definedName>
    <definedName name="_COD43">#REF!</definedName>
    <definedName name="_COD44">#REF!</definedName>
    <definedName name="_COD46">#REF!</definedName>
    <definedName name="_COD47">#REF!</definedName>
    <definedName name="_COD49">#REF!</definedName>
    <definedName name="_COD50">#REF!</definedName>
    <definedName name="_COD55">#REF!</definedName>
    <definedName name="_COD60">#REF!</definedName>
    <definedName name="_COD62">#REF!</definedName>
    <definedName name="_COD65">#REF!</definedName>
    <definedName name="_COD66">#REF!</definedName>
    <definedName name="_COD68">#REF!</definedName>
    <definedName name="_COD8">#REF!</definedName>
    <definedName name="_cod99999">#REF!</definedName>
    <definedName name="_COL1">#REF!</definedName>
    <definedName name="_COL2">#REF!</definedName>
    <definedName name="_D1" localSheetId="3" hidden="1">{#N/A,#N/A,FALSE,"PCOL"}</definedName>
    <definedName name="_D1" localSheetId="5" hidden="1">{#N/A,#N/A,FALSE,"PCOL"}</definedName>
    <definedName name="_D1" hidden="1">{#N/A,#N/A,FALSE,"PCOL"}</definedName>
    <definedName name="_DEF2" localSheetId="3" hidden="1">{#N/A,#N/A,FALSE,"DEF1";#N/A,#N/A,FALSE,"DEF2";#N/A,#N/A,FALSE,"DEF3"}</definedName>
    <definedName name="_DEF2" localSheetId="5" hidden="1">{#N/A,#N/A,FALSE,"DEF1";#N/A,#N/A,FALSE,"DEF2";#N/A,#N/A,FALSE,"DEF3"}</definedName>
    <definedName name="_DEF2" hidden="1">{#N/A,#N/A,FALSE,"DEF1";#N/A,#N/A,FALSE,"DEF2";#N/A,#N/A,FALSE,"DEF3"}</definedName>
    <definedName name="_DEF3" localSheetId="3" hidden="1">{#N/A,#N/A,FALSE,"DEF1";#N/A,#N/A,FALSE,"DEF2";#N/A,#N/A,FALSE,"DEF3"}</definedName>
    <definedName name="_DEF3" localSheetId="5" hidden="1">{#N/A,#N/A,FALSE,"DEF1";#N/A,#N/A,FALSE,"DEF2";#N/A,#N/A,FALSE,"DEF3"}</definedName>
    <definedName name="_DEF3" hidden="1">{#N/A,#N/A,FALSE,"DEF1";#N/A,#N/A,FALSE,"DEF2";#N/A,#N/A,FALSE,"DEF3"}</definedName>
    <definedName name="_doc_name">#REF!</definedName>
    <definedName name="_efc10" localSheetId="3" hidden="1">{"'RR'!$A$2:$E$81"}</definedName>
    <definedName name="_efc10" localSheetId="5" hidden="1">{"'RR'!$A$2:$E$81"}</definedName>
    <definedName name="_efc10" hidden="1">{"'RR'!$A$2:$E$81"}</definedName>
    <definedName name="_EFC2" localSheetId="3" hidden="1">{"'RR'!$A$2:$E$81"}</definedName>
    <definedName name="_EFC2" localSheetId="5" hidden="1">{"'RR'!$A$2:$E$81"}</definedName>
    <definedName name="_EFC2" hidden="1">{"'RR'!$A$2:$E$81"}</definedName>
    <definedName name="_EFC3" localSheetId="3" hidden="1">{"'RR'!$A$2:$E$81"}</definedName>
    <definedName name="_EFC3" localSheetId="5" hidden="1">{"'RR'!$A$2:$E$81"}</definedName>
    <definedName name="_EFC3" hidden="1">{"'RR'!$A$2:$E$81"}</definedName>
    <definedName name="_EFC4" localSheetId="3" hidden="1">{"'RR'!$A$2:$E$81"}</definedName>
    <definedName name="_EFC4" localSheetId="5" hidden="1">{"'RR'!$A$2:$E$81"}</definedName>
    <definedName name="_EFC4" hidden="1">{"'RR'!$A$2:$E$81"}</definedName>
    <definedName name="_ESP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SP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expansao">#REF!</definedName>
    <definedName name="_F99000">#REF!</definedName>
    <definedName name="_ffp16" localSheetId="3" hidden="1">{"'gráf jan00'!$A$1:$AK$41"}</definedName>
    <definedName name="_ffp16" localSheetId="5" hidden="1">{"'gráf jan00'!$A$1:$AK$41"}</definedName>
    <definedName name="_ffp16" hidden="1">{"'gráf jan00'!$A$1:$AK$41"}</definedName>
    <definedName name="_ffp4589" localSheetId="3" hidden="1">{"'gráf jan00'!$A$1:$AK$41"}</definedName>
    <definedName name="_ffp4589" localSheetId="5" hidden="1">{"'gráf jan00'!$A$1:$AK$41"}</definedName>
    <definedName name="_ffp4589" hidden="1">{"'gráf jan00'!$A$1:$AK$41"}</definedName>
    <definedName name="_Fill" hidden="1">#REF!</definedName>
    <definedName name="_xlnm._FilterDatabase" localSheetId="2" hidden="1">'Base dados'!$A$1:$K$197</definedName>
    <definedName name="_xlnm._FilterDatabase" localSheetId="4" hidden="1">SAMC!$A$1:$F$475</definedName>
    <definedName name="_xlnm._FilterDatabase" localSheetId="3" hidden="1">'Time line '!$B$4:$BB$104</definedName>
    <definedName name="_xlnm._FilterDatabase" localSheetId="5" hidden="1">'Time line  (2)'!$B$4:$BB$90</definedName>
    <definedName name="_xlnm._FilterDatabase" hidden="1">#REF!</definedName>
    <definedName name="_FL1">#REF!</definedName>
    <definedName name="_fol1">#REF!</definedName>
    <definedName name="_FOL10">#REF!</definedName>
    <definedName name="_FOL11">#REF!</definedName>
    <definedName name="_FOL12">#REF!</definedName>
    <definedName name="_FOL13">#REF!</definedName>
    <definedName name="_FOL14">#REF!</definedName>
    <definedName name="_FOL15">#REF!</definedName>
    <definedName name="_FOL16">#REF!</definedName>
    <definedName name="_fol2">#REF!:#REF!</definedName>
    <definedName name="_fol3">#REF!</definedName>
    <definedName name="_FOL4">#REF!</definedName>
    <definedName name="_FOL5">#REF!</definedName>
    <definedName name="_FOL6">#REF!</definedName>
    <definedName name="_FOL7">#REF!</definedName>
    <definedName name="_FOL8">#REF!</definedName>
    <definedName name="_FOL9">#REF!</definedName>
    <definedName name="_jun04" localSheetId="3" hidden="1">{"'gráf jan00'!$A$1:$AK$41"}</definedName>
    <definedName name="_jun04" localSheetId="5" hidden="1">{"'gráf jan00'!$A$1:$AK$41"}</definedName>
    <definedName name="_jun04" hidden="1">{"'gráf jan00'!$A$1:$AK$41"}</definedName>
    <definedName name="_Key1" hidden="1">#REF!</definedName>
    <definedName name="_Key2" hidden="1">#REF!</definedName>
    <definedName name="_ki2" localSheetId="3" hidden="1">{#N/A,#N/A,FALSE,"PCOL"}</definedName>
    <definedName name="_ki2" localSheetId="5" hidden="1">{#N/A,#N/A,FALSE,"PCOL"}</definedName>
    <definedName name="_ki2" hidden="1">{#N/A,#N/A,FALSE,"PCOL"}</definedName>
    <definedName name="_kub1">#REF!</definedName>
    <definedName name="_kub2">#REF!</definedName>
    <definedName name="_LI1">#REF!</definedName>
    <definedName name="_LI2">#REF!</definedName>
    <definedName name="_Lider">#REF!</definedName>
    <definedName name="_LUP1">#N/A</definedName>
    <definedName name="_LUP2">#N/A</definedName>
    <definedName name="_m">#REF!</definedName>
    <definedName name="_m___0">#REF!</definedName>
    <definedName name="_manufact">#REF!</definedName>
    <definedName name="_manufactr">#REF!</definedName>
    <definedName name="_MatMult_B" hidden="1">#REF!</definedName>
    <definedName name="_MOA1" localSheetId="3" hidden="1">{#N/A,#N/A,FALSE,"DEF1";#N/A,#N/A,FALSE,"DEF2";#N/A,#N/A,FALSE,"DEF3"}</definedName>
    <definedName name="_MOA1" localSheetId="5" hidden="1">{#N/A,#N/A,FALSE,"DEF1";#N/A,#N/A,FALSE,"DEF2";#N/A,#N/A,FALSE,"DEF3"}</definedName>
    <definedName name="_MOA1" hidden="1">{#N/A,#N/A,FALSE,"DEF1";#N/A,#N/A,FALSE,"DEF2";#N/A,#N/A,FALSE,"DEF3"}</definedName>
    <definedName name="_MOA2" localSheetId="3" hidden="1">{#N/A,#N/A,FALSE,"DEF1";#N/A,#N/A,FALSE,"DEF2";#N/A,#N/A,FALSE,"DEF3"}</definedName>
    <definedName name="_MOA2" localSheetId="5" hidden="1">{#N/A,#N/A,FALSE,"DEF1";#N/A,#N/A,FALSE,"DEF2";#N/A,#N/A,FALSE,"DEF3"}</definedName>
    <definedName name="_MOA2" hidden="1">{#N/A,#N/A,FALSE,"DEF1";#N/A,#N/A,FALSE,"DEF2";#N/A,#N/A,FALSE,"DEF3"}</definedName>
    <definedName name="_model">#REF!</definedName>
    <definedName name="_MTF1">#REF!</definedName>
    <definedName name="_MTF2">#REF!</definedName>
    <definedName name="_MTF3">#REF!</definedName>
    <definedName name="_MTF4">#REF!</definedName>
    <definedName name="_MTF5">#REF!</definedName>
    <definedName name="_MTF6">#REF!</definedName>
    <definedName name="_MTV1">#REF!</definedName>
    <definedName name="_MTV2">#REF!</definedName>
    <definedName name="_MTV3">#REF!</definedName>
    <definedName name="_MTV4">#REF!</definedName>
    <definedName name="_MTV5">#REF!</definedName>
    <definedName name="_n2" localSheetId="3" hidden="1">{#N/A,#N/A,FALSE,"PCOL"}</definedName>
    <definedName name="_n2" localSheetId="5" hidden="1">{#N/A,#N/A,FALSE,"PCOL"}</definedName>
    <definedName name="_n2" hidden="1">{#N/A,#N/A,FALSE,"PCOL"}</definedName>
    <definedName name="_of_sheet">#REF!</definedName>
    <definedName name="_Order1" hidden="1">255</definedName>
    <definedName name="_Order2" hidden="1">255</definedName>
    <definedName name="_OUT98" localSheetId="3" hidden="1">{#N/A,#N/A,TRUE,"Serviços"}</definedName>
    <definedName name="_OUT98" localSheetId="5" hidden="1">{#N/A,#N/A,TRUE,"Serviços"}</definedName>
    <definedName name="_OUT98" hidden="1">{#N/A,#N/A,TRUE,"Serviços"}</definedName>
    <definedName name="_p.reatia">#REF!</definedName>
    <definedName name="_p_order">#REF!</definedName>
    <definedName name="_PG1">#REF!</definedName>
    <definedName name="_pg10">#REF!</definedName>
    <definedName name="_pg1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ga10">#REF!</definedName>
    <definedName name="_pga11">#REF!</definedName>
    <definedName name="_pga2">#REF!</definedName>
    <definedName name="_pga3">#REF!</definedName>
    <definedName name="_pga4">#REF!</definedName>
    <definedName name="_pga5">#REF!</definedName>
    <definedName name="_pga6">#REF!</definedName>
    <definedName name="_pga7">#REF!</definedName>
    <definedName name="_pga8">#REF!</definedName>
    <definedName name="_pga9">#REF!</definedName>
    <definedName name="_pid_no">#REF!</definedName>
    <definedName name="_PN10" localSheetId="3" hidden="1">{"'gráf jan00'!$A$1:$AK$41"}</definedName>
    <definedName name="_PN10" localSheetId="5" hidden="1">{"'gráf jan00'!$A$1:$AK$41"}</definedName>
    <definedName name="_PN10" hidden="1">{"'gráf jan00'!$A$1:$AK$41"}</definedName>
    <definedName name="_pod_mm">#REF!</definedName>
    <definedName name="_potencia">#REF!</definedName>
    <definedName name="_pppprr">#REF!</definedName>
    <definedName name="_Print_Area_MI">#REF!</definedName>
    <definedName name="_projectDescript">#REF!</definedName>
    <definedName name="_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ndimento">#REF!</definedName>
    <definedName name="_req_no">#REF!</definedName>
    <definedName name="_RES25">#REF!</definedName>
    <definedName name="_rev">#REF!</definedName>
    <definedName name="_rev.">#REF!</definedName>
    <definedName name="_RUN1">#REF!</definedName>
    <definedName name="_RUN2">#REF!</definedName>
    <definedName name="_service">#REF!</definedName>
    <definedName name="_sheet_no">#REF!</definedName>
    <definedName name="_sjp4">#REF!</definedName>
    <definedName name="_Sort" hidden="1">#REF!</definedName>
    <definedName name="_Subestação">#REF!</definedName>
    <definedName name="_tabelaDenominação">#REF!</definedName>
    <definedName name="_Tag_Carga">#REF!</definedName>
    <definedName name="_Tag_CCM">#REF!</definedName>
    <definedName name="_tag_no">#REF!</definedName>
    <definedName name="_Titulos_Impressão_IM">#REF!</definedName>
    <definedName name="_TK1">#REF!</definedName>
    <definedName name="_tk13">#REF!</definedName>
    <definedName name="_tk14">#REF!</definedName>
    <definedName name="_TK3">#REF!</definedName>
    <definedName name="_TK5">#REF!</definedName>
    <definedName name="_TK6">#REF!</definedName>
    <definedName name="_tk7">#REF!</definedName>
    <definedName name="_tk8">#REF!</definedName>
    <definedName name="_TOT1">"$#REF!.$#REF!$#REF!"</definedName>
    <definedName name="_TOT2">"$#REF!.$#REF!$#REF!"</definedName>
    <definedName name="_TOT3">#REF!</definedName>
    <definedName name="_TOT4">"$#REF!.$#REF!$#REF!"</definedName>
    <definedName name="_TOT5">"$#REF!.$#REF!$#REF!"</definedName>
    <definedName name="_TOT6">#REF!</definedName>
    <definedName name="_TOT7">#REF!</definedName>
    <definedName name="_TT1">#REF!</definedName>
    <definedName name="_TT2">#REF!</definedName>
    <definedName name="_TT4">#REF!</definedName>
    <definedName name="_v1" localSheetId="3" hidden="1">{"'REL CUSTODIF'!$B$1:$H$72"}</definedName>
    <definedName name="_v1" localSheetId="5" hidden="1">{"'REL CUSTODIF'!$B$1:$H$72"}</definedName>
    <definedName name="_v1" hidden="1">{"'REL CUSTODIF'!$B$1:$H$72"}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">#REF!</definedName>
    <definedName name="_x1" localSheetId="3" hidden="1">{"'REL CUSTODIF'!$B$1:$H$72"}</definedName>
    <definedName name="_x1" localSheetId="5" hidden="1">{"'REL CUSTODIF'!$B$1:$H$72"}</definedName>
    <definedName name="_x1" hidden="1">{"'REL CUSTODIF'!$B$1:$H$72"}</definedName>
    <definedName name="_x10" localSheetId="3" hidden="1">{"'REL CUSTODIF'!$B$1:$H$72"}</definedName>
    <definedName name="_x10" localSheetId="5" hidden="1">{"'REL CUSTODIF'!$B$1:$H$72"}</definedName>
    <definedName name="_x10" hidden="1">{"'REL CUSTODIF'!$B$1:$H$72"}</definedName>
    <definedName name="_x11" localSheetId="3" hidden="1">{"'REL CUSTODIF'!$B$1:$H$72"}</definedName>
    <definedName name="_x11" localSheetId="5" hidden="1">{"'REL CUSTODIF'!$B$1:$H$72"}</definedName>
    <definedName name="_x11" hidden="1">{"'REL CUSTODIF'!$B$1:$H$72"}</definedName>
    <definedName name="_x12" localSheetId="3" hidden="1">{#N/A,#N/A,FALSE,"Suprimentos";#N/A,#N/A,FALSE,"Medicina e Segurança";#N/A,#N/A,FALSE,"Administração";#N/A,#N/A,FALSE,"Meio Ambiente";#N/A,#N/A,FALSE,"Operação (Mina)";#N/A,#N/A,FALSE,"Operação (Porto)"}</definedName>
    <definedName name="_x12" localSheetId="5" hidden="1">{#N/A,#N/A,FALSE,"Suprimentos";#N/A,#N/A,FALSE,"Medicina e Segurança";#N/A,#N/A,FALSE,"Administração";#N/A,#N/A,FALSE,"Meio Ambiente";#N/A,#N/A,FALSE,"Operação (Mina)";#N/A,#N/A,FALSE,"Operação (Porto)"}</definedName>
    <definedName name="_x12" hidden="1">{#N/A,#N/A,FALSE,"Suprimentos";#N/A,#N/A,FALSE,"Medicina e Segurança";#N/A,#N/A,FALSE,"Administração";#N/A,#N/A,FALSE,"Meio Ambiente";#N/A,#N/A,FALSE,"Operação (Mina)";#N/A,#N/A,FALSE,"Operação (Porto)"}</definedName>
    <definedName name="_x13" localSheetId="3" hidden="1">{"'REL CUSTODIF'!$B$1:$H$72"}</definedName>
    <definedName name="_x13" localSheetId="5" hidden="1">{"'REL CUSTODIF'!$B$1:$H$72"}</definedName>
    <definedName name="_x13" hidden="1">{"'REL CUSTODIF'!$B$1:$H$72"}</definedName>
    <definedName name="_x2" localSheetId="3" hidden="1">{"'REL CUSTODIF'!$B$1:$H$72"}</definedName>
    <definedName name="_x2" localSheetId="5" hidden="1">{"'REL CUSTODIF'!$B$1:$H$72"}</definedName>
    <definedName name="_x2" hidden="1">{"'REL CUSTODIF'!$B$1:$H$72"}</definedName>
    <definedName name="_x20" localSheetId="3" hidden="1">{#N/A,#N/A,FALSE,"Suprimentos";#N/A,#N/A,FALSE,"Medicina e Segurança";#N/A,#N/A,FALSE,"Administração";#N/A,#N/A,FALSE,"Meio Ambiente";#N/A,#N/A,FALSE,"Operação (Mina)";#N/A,#N/A,FALSE,"Operação (Porto)"}</definedName>
    <definedName name="_x20" localSheetId="5" hidden="1">{#N/A,#N/A,FALSE,"Suprimentos";#N/A,#N/A,FALSE,"Medicina e Segurança";#N/A,#N/A,FALSE,"Administração";#N/A,#N/A,FALSE,"Meio Ambiente";#N/A,#N/A,FALSE,"Operação (Mina)";#N/A,#N/A,FALSE,"Operação (Porto)"}</definedName>
    <definedName name="_x20" hidden="1">{#N/A,#N/A,FALSE,"Suprimentos";#N/A,#N/A,FALSE,"Medicina e Segurança";#N/A,#N/A,FALSE,"Administração";#N/A,#N/A,FALSE,"Meio Ambiente";#N/A,#N/A,FALSE,"Operação (Mina)";#N/A,#N/A,FALSE,"Operação (Porto)"}</definedName>
    <definedName name="_x3" localSheetId="3" hidden="1">{"'REL CUSTODIF'!$B$1:$H$72"}</definedName>
    <definedName name="_x3" localSheetId="5" hidden="1">{"'REL CUSTODIF'!$B$1:$H$72"}</definedName>
    <definedName name="_x3" hidden="1">{"'REL CUSTODIF'!$B$1:$H$72"}</definedName>
    <definedName name="_x4" localSheetId="3" hidden="1">{"'REL CUSTODIF'!$B$1:$H$72"}</definedName>
    <definedName name="_x4" localSheetId="5" hidden="1">{"'REL CUSTODIF'!$B$1:$H$72"}</definedName>
    <definedName name="_x4" hidden="1">{"'REL CUSTODIF'!$B$1:$H$72"}</definedName>
    <definedName name="_x5" localSheetId="3" hidden="1">{"'REL CUSTODIF'!$B$1:$H$72"}</definedName>
    <definedName name="_x5" localSheetId="5" hidden="1">{"'REL CUSTODIF'!$B$1:$H$72"}</definedName>
    <definedName name="_x5" hidden="1">{"'REL CUSTODIF'!$B$1:$H$72"}</definedName>
    <definedName name="_x6" localSheetId="3" hidden="1">{#N/A,#N/A,FALSE,"Suprimentos";#N/A,#N/A,FALSE,"Medicina e Segurança";#N/A,#N/A,FALSE,"Administração";#N/A,#N/A,FALSE,"Meio Ambiente";#N/A,#N/A,FALSE,"Operação (Mina)";#N/A,#N/A,FALSE,"Operação (Porto)"}</definedName>
    <definedName name="_x6" localSheetId="5" hidden="1">{#N/A,#N/A,FALSE,"Suprimentos";#N/A,#N/A,FALSE,"Medicina e Segurança";#N/A,#N/A,FALSE,"Administração";#N/A,#N/A,FALSE,"Meio Ambiente";#N/A,#N/A,FALSE,"Operação (Mina)";#N/A,#N/A,FALSE,"Operação (Porto)"}</definedName>
    <definedName name="_x6" hidden="1">{#N/A,#N/A,FALSE,"Suprimentos";#N/A,#N/A,FALSE,"Medicina e Segurança";#N/A,#N/A,FALSE,"Administração";#N/A,#N/A,FALSE,"Meio Ambiente";#N/A,#N/A,FALSE,"Operação (Mina)";#N/A,#N/A,FALSE,"Operação (Porto)"}</definedName>
    <definedName name="_x7" localSheetId="3" hidden="1">{"'REL CUSTODIF'!$B$1:$H$72"}</definedName>
    <definedName name="_x7" localSheetId="5" hidden="1">{"'REL CUSTODIF'!$B$1:$H$72"}</definedName>
    <definedName name="_x7" hidden="1">{"'REL CUSTODIF'!$B$1:$H$72"}</definedName>
    <definedName name="_x8" localSheetId="3" hidden="1">{"'REL CUSTODIF'!$B$1:$H$72"}</definedName>
    <definedName name="_x8" localSheetId="5" hidden="1">{"'REL CUSTODIF'!$B$1:$H$72"}</definedName>
    <definedName name="_x8" hidden="1">{"'REL CUSTODIF'!$B$1:$H$72"}</definedName>
    <definedName name="_xlchart.v1.0" hidden="1">'Resumo Andamento'!$G$7:$G$17</definedName>
    <definedName name="_xlchart.v1.1" hidden="1">'Resumo Andamento'!$H$7:$H$17</definedName>
    <definedName name="_xlchart.v1.2" hidden="1">Dashboards!$H$6:$H$17</definedName>
    <definedName name="_xlchart.v1.3" hidden="1">Dashboards!$J$5</definedName>
    <definedName name="_xlchart.v1.4" hidden="1">Dashboards!$J$6:$J$17</definedName>
    <definedName name="_xlchart.v1.5" hidden="1">Dashboards!$K$5</definedName>
    <definedName name="_xlchart.v1.6" hidden="1">Dashboards!$K$6:$K$17</definedName>
    <definedName name="_xlchart.v1.7" hidden="1">Dashboards!$L$5</definedName>
    <definedName name="_xlchart.v1.8" hidden="1">Dashboards!$L$6:$L$17</definedName>
    <definedName name="A">#REF!</definedName>
    <definedName name="A_333">#REF!</definedName>
    <definedName name="A_km">#REF!</definedName>
    <definedName name="A_S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_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">#REF!</definedName>
    <definedName name="aaaaa" localSheetId="3" hidden="1">{"'gráf jan00'!$A$1:$AK$41"}</definedName>
    <definedName name="aaaaa" localSheetId="5" hidden="1">{"'gráf jan00'!$A$1:$AK$41"}</definedName>
    <definedName name="aaaaa" hidden="1">{"'gráf jan00'!$A$1:$AK$41"}</definedName>
    <definedName name="AAAAAA" localSheetId="3" hidden="1">{#N/A,#N/A,FALSE,"GQGEMPRE"}</definedName>
    <definedName name="AAAAAA" localSheetId="5" hidden="1">{#N/A,#N/A,FALSE,"GQGEMPRE"}</definedName>
    <definedName name="AAAAAA" hidden="1">{#N/A,#N/A,FALSE,"GQGEMPRE"}</definedName>
    <definedName name="aaaaaaa" hidden="1">{#N/A,#N/A,FALSE,"Cronograma";#N/A,#N/A,FALSE,"Cronogr. 2"}</definedName>
    <definedName name="aaaaaaaaaaaaaaaaa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aaaaaaaaaaaaaaaaaa" hidden="1">{#N/A,#N/A,FALSE,"Cronograma";#N/A,#N/A,FALSE,"Cronogr. 2"}</definedName>
    <definedName name="aaaaaaaaaaaaaaaaaaaaaaaaaaaaaaaaaaaa">#REF!</definedName>
    <definedName name="aaas" localSheetId="3" hidden="1">{"'gráf jan00'!$A$1:$AK$41"}</definedName>
    <definedName name="aaas" localSheetId="5" hidden="1">{"'gráf jan00'!$A$1:$AK$41"}</definedName>
    <definedName name="aaas" hidden="1">{"'gráf jan00'!$A$1:$AK$41"}</definedName>
    <definedName name="aadas">#REF!</definedName>
    <definedName name="aas" localSheetId="3" hidden="1">#REF!</definedName>
    <definedName name="aas" localSheetId="5" hidden="1">#REF!</definedName>
    <definedName name="aas" hidden="1">#REF!</definedName>
    <definedName name="aasaasas" localSheetId="3" hidden="1">{#N/A,#N/A,TRUE,"indice";#N/A,#N/A,TRUE,"indicadores";#N/A,#N/A,TRUE,"comentarios"}</definedName>
    <definedName name="aasaasas" localSheetId="5" hidden="1">{#N/A,#N/A,TRUE,"indice";#N/A,#N/A,TRUE,"indicadores";#N/A,#N/A,TRUE,"comentarios"}</definedName>
    <definedName name="aasaasas" hidden="1">{#N/A,#N/A,TRUE,"indice";#N/A,#N/A,TRUE,"indicadores";#N/A,#N/A,TRUE,"comentarios"}</definedName>
    <definedName name="ab" localSheetId="3" hidden="1">{#N/A,#N/A,FALSE,"ET-CAPA";#N/A,#N/A,FALSE,"ET-PAG1";#N/A,#N/A,FALSE,"ET-PAG2";#N/A,#N/A,FALSE,"ET-PAG3";#N/A,#N/A,FALSE,"ET-PAG4";#N/A,#N/A,FALSE,"ET-PAG5"}</definedName>
    <definedName name="ab" localSheetId="5" hidden="1">{#N/A,#N/A,FALSE,"ET-CAPA";#N/A,#N/A,FALSE,"ET-PAG1";#N/A,#N/A,FALSE,"ET-PAG2";#N/A,#N/A,FALSE,"ET-PAG3";#N/A,#N/A,FALSE,"ET-PAG4";#N/A,#N/A,FALSE,"ET-PAG5"}</definedName>
    <definedName name="ab" hidden="1">{#N/A,#N/A,FALSE,"ET-CAPA";#N/A,#N/A,FALSE,"ET-PAG1";#N/A,#N/A,FALSE,"ET-PAG2";#N/A,#N/A,FALSE,"ET-PAG3";#N/A,#N/A,FALSE,"ET-PAG4";#N/A,#N/A,FALSE,"ET-PAG5"}</definedName>
    <definedName name="ABARTH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{#N/A,#N/A,FALSE,"PCOL"}</definedName>
    <definedName name="abc" localSheetId="5" hidden="1">{#N/A,#N/A,FALSE,"PCOL"}</definedName>
    <definedName name="abc" hidden="1">{#N/A,#N/A,FALSE,"PCOL"}</definedName>
    <definedName name="ABC.XLS" localSheetId="3" hidden="1">{"'Quadro'!$A$4:$BG$78"}</definedName>
    <definedName name="ABC.XLS" localSheetId="5" hidden="1">{"'Quadro'!$A$4:$BG$78"}</definedName>
    <definedName name="ABC.XLS" hidden="1">{"'Quadro'!$A$4:$BG$78"}</definedName>
    <definedName name="abcd" localSheetId="3" hidden="1">{#N/A,#N/A,FALSE,"PCOL"}</definedName>
    <definedName name="abcd" localSheetId="5" hidden="1">{#N/A,#N/A,FALSE,"PCOL"}</definedName>
    <definedName name="abcd" hidden="1">{#N/A,#N/A,FALSE,"PCOL"}</definedName>
    <definedName name="abcdaa" localSheetId="3" hidden="1">{#N/A,#N/A,FALSE,"PCOL"}</definedName>
    <definedName name="abcdaa" localSheetId="5" hidden="1">{#N/A,#N/A,FALSE,"PCOL"}</definedName>
    <definedName name="abcdaa" hidden="1">{#N/A,#N/A,FALSE,"PCOL"}</definedName>
    <definedName name="abcdaaa" localSheetId="3" hidden="1">{#N/A,#N/A,FALSE,"PCOL"}</definedName>
    <definedName name="abcdaaa" localSheetId="5" hidden="1">{#N/A,#N/A,FALSE,"PCOL"}</definedName>
    <definedName name="abcdaaa" hidden="1">{#N/A,#N/A,FALSE,"PCOL"}</definedName>
    <definedName name="abcdaaa2" localSheetId="3" hidden="1">{#N/A,#N/A,FALSE,"PCOL"}</definedName>
    <definedName name="abcdaaa2" localSheetId="5" hidden="1">{#N/A,#N/A,FALSE,"PCOL"}</definedName>
    <definedName name="abcdaaa2" hidden="1">{#N/A,#N/A,FALSE,"PCOL"}</definedName>
    <definedName name="abcde" localSheetId="3" hidden="1">{#N/A,#N/A,FALSE,"PCOL"}</definedName>
    <definedName name="abcde" localSheetId="5" hidden="1">{#N/A,#N/A,FALSE,"PCOL"}</definedName>
    <definedName name="abcde" hidden="1">{#N/A,#N/A,FALSE,"PCOL"}</definedName>
    <definedName name="abcdee" localSheetId="3" hidden="1">{#N/A,#N/A,FALSE,"PCOL"}</definedName>
    <definedName name="abcdee" localSheetId="5" hidden="1">{#N/A,#N/A,FALSE,"PCOL"}</definedName>
    <definedName name="abcdee" hidden="1">{#N/A,#N/A,FALSE,"PCOL"}</definedName>
    <definedName name="ABCDEEE" localSheetId="3" hidden="1">{#N/A,#N/A,FALSE,"PCOL"}</definedName>
    <definedName name="ABCDEEE" localSheetId="5" hidden="1">{#N/A,#N/A,FALSE,"PCOL"}</definedName>
    <definedName name="ABCDEEE" hidden="1">{#N/A,#N/A,FALSE,"PCOL"}</definedName>
    <definedName name="ABCDMM" localSheetId="3" hidden="1">{#N/A,#N/A,FALSE,"PCOL"}</definedName>
    <definedName name="ABCDMM" localSheetId="5" hidden="1">{#N/A,#N/A,FALSE,"PCOL"}</definedName>
    <definedName name="ABCDMM" hidden="1">{#N/A,#N/A,FALSE,"PCOL"}</definedName>
    <definedName name="ABER">#REF!</definedName>
    <definedName name="abobora.xls" localSheetId="3" hidden="1">{"'Quadro'!$A$4:$BG$78"}</definedName>
    <definedName name="abobora.xls" localSheetId="5" hidden="1">{"'Quadro'!$A$4:$BG$78"}</definedName>
    <definedName name="abobora.xls" hidden="1">{"'Quadro'!$A$4:$BG$78"}</definedName>
    <definedName name="Abr" localSheetId="3">'Time line '!DaysAndWeeks+DATE([0]!CalendárioYear,4,1)-WEEKDAY(DATE([0]!CalendárioYear,4,1),'Time line '!OpçãodeDiadaSemana)+1</definedName>
    <definedName name="Abr" localSheetId="5">'Time line  (2)'!DaysAndWeeks+DATE([0]!CalendárioYear,4,1)-WEEKDAY(DATE([0]!CalendárioYear,4,1),'Time line  (2)'!OpçãodeDiadaSemana)+1</definedName>
    <definedName name="Abr">DaysAndWeeks+DATE(CalendárioYear,4,1)-WEEKDAY(DATE(CalendárioYear,4,1),OpçãodeDiadaSemana)+1</definedName>
    <definedName name="Accts_Balances">#REF!</definedName>
    <definedName name="Accts_Balances1">#REF!</definedName>
    <definedName name="aceita">#REF!</definedName>
    <definedName name="ACESIT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ESSÓRIOS">#REF!</definedName>
    <definedName name="Acidente" localSheetId="3" hidden="1">{"'gráf jan00'!$A$1:$AK$41"}</definedName>
    <definedName name="Acidente" localSheetId="5" hidden="1">{"'gráf jan00'!$A$1:$AK$41"}</definedName>
    <definedName name="Acidente" hidden="1">{"'gráf jan00'!$A$1:$AK$41"}</definedName>
    <definedName name="ACT">#REF!</definedName>
    <definedName name="AD">#REF!</definedName>
    <definedName name="adas" localSheetId="3">#REF!</definedName>
    <definedName name="adas" localSheetId="5">#REF!</definedName>
    <definedName name="adas">#REF!</definedName>
    <definedName name="adasdad" localSheetId="3" hidden="1">{"'gráf jan00'!$A$1:$AK$41"}</definedName>
    <definedName name="adasdad" localSheetId="5" hidden="1">{"'gráf jan00'!$A$1:$AK$41"}</definedName>
    <definedName name="adasdad" hidden="1">{"'gráf jan00'!$A$1:$AK$41"}</definedName>
    <definedName name="ADB">#REF!</definedName>
    <definedName name="Adc">#REF!</definedName>
    <definedName name="ADCA">#REF!</definedName>
    <definedName name="ADCD">#REF!</definedName>
    <definedName name="ADCM">#REF!</definedName>
    <definedName name="ADCT">#REF!</definedName>
    <definedName name="ADCV">#REF!</definedName>
    <definedName name="addd" localSheetId="3" hidden="1">{#N/A,#N/A,FALSE,"GQGEMPRE"}</definedName>
    <definedName name="addd" localSheetId="5" hidden="1">{#N/A,#N/A,FALSE,"GQGEMPRE"}</definedName>
    <definedName name="addd" hidden="1">{#N/A,#N/A,FALSE,"GQGEMPRE"}</definedName>
    <definedName name="ADE">#REF!</definedName>
    <definedName name="ADED" localSheetId="3" hidden="1">{"'gráf jan00'!$A$1:$AK$41"}</definedName>
    <definedName name="ADED" localSheetId="5" hidden="1">{"'gráf jan00'!$A$1:$AK$41"}</definedName>
    <definedName name="ADED" hidden="1">{"'gráf jan00'!$A$1:$AK$41"}</definedName>
    <definedName name="Adequaqção" localSheetId="3" hidden="1">{"'gráf jan00'!$A$1:$AK$41"}</definedName>
    <definedName name="Adequaqção" localSheetId="5" hidden="1">{"'gráf jan00'!$A$1:$AK$41"}</definedName>
    <definedName name="Adequaqção" hidden="1">{"'gráf jan00'!$A$1:$AK$41"}</definedName>
    <definedName name="ADF">#REF!</definedName>
    <definedName name="adfadssf" hidden="1">#REF!</definedName>
    <definedName name="adfdf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gag">#REF!</definedName>
    <definedName name="ADI">#REF!</definedName>
    <definedName name="Adianto">#REF!</definedName>
    <definedName name="ADINTRA">#REF!</definedName>
    <definedName name="aditivo" localSheetId="3" hidden="1">{#N/A,#N/A,FALSE,"PCOL"}</definedName>
    <definedName name="aditivo" localSheetId="5" hidden="1">{#N/A,#N/A,FALSE,"PCOL"}</definedName>
    <definedName name="aditivo" hidden="1">{#N/A,#N/A,FALSE,"PCOL"}</definedName>
    <definedName name="ADJP">#REF!</definedName>
    <definedName name="ADLE">#REF!</definedName>
    <definedName name="ADM">#REF!</definedName>
    <definedName name="Adm.Central">#REF!</definedName>
    <definedName name="Adm.Local">#REF!</definedName>
    <definedName name="ADM___0">#REF!</definedName>
    <definedName name="admula">#REF!</definedName>
    <definedName name="ADN">#REF!</definedName>
    <definedName name="ADNOT">#REF!</definedName>
    <definedName name="ADP">#REF!</definedName>
    <definedName name="ADQ">#REF!</definedName>
    <definedName name="ADRP">#REF!</definedName>
    <definedName name="ADS">#REF!</definedName>
    <definedName name="adsf" localSheetId="3" hidden="1">{"'gráf jan00'!$A$1:$AK$41"}</definedName>
    <definedName name="adsf" localSheetId="5" hidden="1">{"'gráf jan00'!$A$1:$AK$41"}</definedName>
    <definedName name="adsf" hidden="1">{"'gráf jan00'!$A$1:$AK$41"}</definedName>
    <definedName name="adsfa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TACF">#REF!</definedName>
    <definedName name="ADTACI">#REF!</definedName>
    <definedName name="ADTACR">#REF!</definedName>
    <definedName name="ADTACS">#REF!</definedName>
    <definedName name="ADTI">#REF!</definedName>
    <definedName name="ADTPEADS">#REF!</definedName>
    <definedName name="ADTPVCR">#REF!</definedName>
    <definedName name="ADTPVCS">#REF!</definedName>
    <definedName name="ADTRA">#REF!</definedName>
    <definedName name="A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s" localSheetId="3" hidden="1">{"'gráf jan00'!$A$1:$AK$41"}</definedName>
    <definedName name="afds" localSheetId="5" hidden="1">{"'gráf jan00'!$A$1:$AK$41"}</definedName>
    <definedName name="afds" hidden="1">{"'gráf jan00'!$A$1:$AK$41"}</definedName>
    <definedName name="ag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KLJDFK" localSheetId="3" hidden="1">{"'gráf jan00'!$A$1:$AK$41"}</definedName>
    <definedName name="AGAKLJDFK" localSheetId="5" hidden="1">{"'gráf jan00'!$A$1:$AK$41"}</definedName>
    <definedName name="AGAKLJDFK" hidden="1">{"'gráf jan00'!$A$1:$AK$41"}</definedName>
    <definedName name="agdad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o" localSheetId="3" hidden="1">{#N/A,#N/A,FALSE,"ET-CAPA";#N/A,#N/A,FALSE,"ET-PAG1";#N/A,#N/A,FALSE,"ET-PAG2";#N/A,#N/A,FALSE,"ET-PAG3";#N/A,#N/A,FALSE,"ET-PAG4";#N/A,#N/A,FALSE,"ET-PAG5"}</definedName>
    <definedName name="Ago" localSheetId="5" hidden="1">{#N/A,#N/A,FALSE,"ET-CAPA";#N/A,#N/A,FALSE,"ET-PAG1";#N/A,#N/A,FALSE,"ET-PAG2";#N/A,#N/A,FALSE,"ET-PAG3";#N/A,#N/A,FALSE,"ET-PAG4";#N/A,#N/A,FALSE,"ET-PAG5"}</definedName>
    <definedName name="Ago" hidden="1">{#N/A,#N/A,FALSE,"ET-CAPA";#N/A,#N/A,FALSE,"ET-PAG1";#N/A,#N/A,FALSE,"ET-PAG2";#N/A,#N/A,FALSE,"ET-PAG3";#N/A,#N/A,FALSE,"ET-PAG4";#N/A,#N/A,FALSE,"ET-PAG5"}</definedName>
    <definedName name="agost5" localSheetId="3" hidden="1">{"'gráf jan00'!$A$1:$AK$41"}</definedName>
    <definedName name="agost5" localSheetId="5" hidden="1">{"'gráf jan00'!$A$1:$AK$41"}</definedName>
    <definedName name="agost5" hidden="1">{"'gráf jan00'!$A$1:$AK$41"}</definedName>
    <definedName name="Agosto" localSheetId="3" hidden="1">{#N/A,#N/A,FALSE,"SITUAÇÃO DIÁRIA ";#N/A,#N/A,FALSE,"7 à 7"}</definedName>
    <definedName name="Agosto" localSheetId="5" hidden="1">{#N/A,#N/A,FALSE,"SITUAÇÃO DIÁRIA ";#N/A,#N/A,FALSE,"7 à 7"}</definedName>
    <definedName name="Agosto" hidden="1">{#N/A,#N/A,FALSE,"SITUAÇÃO DIÁRIA ";#N/A,#N/A,FALSE,"7 à 7"}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_Limpa">#REF!</definedName>
    <definedName name="AHA" localSheetId="3" hidden="1">{"'RR'!$A$2:$E$81"}</definedName>
    <definedName name="AHA" localSheetId="5" hidden="1">{"'RR'!$A$2:$E$81"}</definedName>
    <definedName name="AHA" hidden="1">{"'RR'!$A$2:$E$81"}</definedName>
    <definedName name="AI_312">#REF!</definedName>
    <definedName name="aina" localSheetId="3" hidden="1">{#N/A,#N/A,FALSE,"PCOL"}</definedName>
    <definedName name="aina" localSheetId="5" hidden="1">{#N/A,#N/A,FALSE,"PCOL"}</definedName>
    <definedName name="aina" hidden="1">{#N/A,#N/A,FALSE,"PCOL"}</definedName>
    <definedName name="AIR">#REF!</definedName>
    <definedName name="AJUDA">#REF!</definedName>
    <definedName name="AJUSTARANGE">#REF!</definedName>
    <definedName name="ALBRAS___ALUMÍNIO_BRASILEIRO_S_A">#REF!</definedName>
    <definedName name="ALEQUIP">#REF!</definedName>
    <definedName name="Aliment.Adm.Local">#REF!</definedName>
    <definedName name="Aliment.MOD">#REF!</definedName>
    <definedName name="ALIMUNIT">#REF!</definedName>
    <definedName name="alloc">#REF!</definedName>
    <definedName name="allow">#REF!</definedName>
    <definedName name="ALMOCO">#N/A</definedName>
    <definedName name="ALMOCOMES">#N/A</definedName>
    <definedName name="Alocação">#REF!</definedName>
    <definedName name="ALOJAMENTO">#REF!</definedName>
    <definedName name="ALTABSAL">#N/A</definedName>
    <definedName name="ALTERSAL">#N/A</definedName>
    <definedName name="ALUGCOMBFRETE">#REF!</definedName>
    <definedName name="AM" hidden="1">#REF!</definedName>
    <definedName name="AMD" hidden="1">#REF!</definedName>
    <definedName name="AMDS">#REF!</definedName>
    <definedName name="amos" localSheetId="3" hidden="1">{#N/A,#N/A,FALSE,"GQGEMPRE"}</definedName>
    <definedName name="amos" localSheetId="5" hidden="1">{#N/A,#N/A,FALSE,"GQGEMPRE"}</definedName>
    <definedName name="amos" hidden="1">{#N/A,#N/A,FALSE,"GQGEMPRE"}</definedName>
    <definedName name="AMV" localSheetId="3" hidden="1">{"'gráf jan00'!$A$1:$AK$41"}</definedName>
    <definedName name="AMV" localSheetId="5" hidden="1">{"'gráf jan00'!$A$1:$AK$41"}</definedName>
    <definedName name="AMV" hidden="1">{"'gráf jan00'!$A$1:$AK$41"}</definedName>
    <definedName name="and">#REF!</definedName>
    <definedName name="Anex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1" localSheetId="3" hidden="1">{"'teste'!$B$2:$R$49"}</definedName>
    <definedName name="ANEXO1" localSheetId="5" hidden="1">{"'teste'!$B$2:$R$49"}</definedName>
    <definedName name="ANEXO1" hidden="1">{"'teste'!$B$2:$R$49"}</definedName>
    <definedName name="ANEXO2" localSheetId="3" hidden="1">{"'teste'!$B$2:$R$49"}</definedName>
    <definedName name="ANEXO2" localSheetId="5" hidden="1">{"'teste'!$B$2:$R$49"}</definedName>
    <definedName name="ANEXO2" hidden="1">{"'teste'!$B$2:$R$49"}</definedName>
    <definedName name="ANO">#REF!</definedName>
    <definedName name="Anoant">#REF!</definedName>
    <definedName name="ANOOP">#REF!</definedName>
    <definedName name="Anoprop">#REF!</definedName>
    <definedName name="ans" localSheetId="3" hidden="1">{#N/A,#N/A,FALSE,"PCOL"}</definedName>
    <definedName name="ans" localSheetId="5" hidden="1">{#N/A,#N/A,FALSE,"PCOL"}</definedName>
    <definedName name="ans" hidden="1">{#N/A,#N/A,FALSE,"PCOL"}</definedName>
    <definedName name="anscount" hidden="1">1</definedName>
    <definedName name="APAGTAB">#N/A</definedName>
    <definedName name="API_5L">#REF!</definedName>
    <definedName name="APOIO">#REF!</definedName>
    <definedName name="ApoioTécnico">#REF!</definedName>
    <definedName name="APOIOUNIT">#REF!</definedName>
    <definedName name="AR" localSheetId="3" hidden="1">{"'Quadro'!$A$4:$BG$78"}</definedName>
    <definedName name="AR" localSheetId="5" hidden="1">{"'Quadro'!$A$4:$BG$78"}</definedName>
    <definedName name="AR" hidden="1">{"'Quadro'!$A$4:$BG$78"}</definedName>
    <definedName name="Arara" localSheetId="3" hidden="1">{#N/A,#N/A,FALSE,"PCOL"}</definedName>
    <definedName name="Arara" localSheetId="5" hidden="1">{#N/A,#N/A,FALSE,"PCOL"}</definedName>
    <definedName name="Arara" hidden="1">{#N/A,#N/A,FALSE,"PCOL"}</definedName>
    <definedName name="arct">#REF!</definedName>
    <definedName name="area">#REF!</definedName>
    <definedName name="Área">#REF!</definedName>
    <definedName name="ÀREA">#REF!</definedName>
    <definedName name="Área_05C">#REF!</definedName>
    <definedName name="ÀREA_ACUM">#REF!</definedName>
    <definedName name="_xlnm.Extract">#REF!</definedName>
    <definedName name="_xlnm.Print_Area" localSheetId="3">'Time line '!$B$1:$AZ$104</definedName>
    <definedName name="_xlnm.Print_Area" localSheetId="5">'Time line  (2)'!$B$1:$AZ$90</definedName>
    <definedName name="_xlnm.Print_Area">#REF!</definedName>
    <definedName name="Área_impressão_IM">#REF!</definedName>
    <definedName name="Área_impressão_IM___0">#REF!</definedName>
    <definedName name="AREAABRIGO">#REF!</definedName>
    <definedName name="AREAAMBIENTAL">#REF!</definedName>
    <definedName name="AreaCanteiro">#REF!</definedName>
    <definedName name="areacontainer">#REF!</definedName>
    <definedName name="AREAFORRO">#REF!</definedName>
    <definedName name="AREAGAIOLA">#REF!</definedName>
    <definedName name="AREAMADEIRITE">2.44*0.122</definedName>
    <definedName name="AREAPONTALETE">#REF!</definedName>
    <definedName name="AREATABUA">0.75</definedName>
    <definedName name="AREEWR" localSheetId="3" hidden="1">{"'Quadro'!$A$4:$BG$78"}</definedName>
    <definedName name="AREEWR" localSheetId="5" hidden="1">{"'Quadro'!$A$4:$BG$78"}</definedName>
    <definedName name="AREEWR" hidden="1">{"'Quadro'!$A$4:$BG$78"}</definedName>
    <definedName name="AREIA">#REF!</definedName>
    <definedName name="AREIA_1">#REF!</definedName>
    <definedName name="AREIA_1_2">#REF!</definedName>
    <definedName name="AREIA_1_3">#REF!</definedName>
    <definedName name="AREIA_2">#REF!</definedName>
    <definedName name="AREIA_3">#REF!</definedName>
    <definedName name="AREIA_4">#REF!</definedName>
    <definedName name="ARMAMENTO">#REF!</definedName>
    <definedName name="ARMAZ">#REF!</definedName>
    <definedName name="arrrr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>#REF!</definedName>
    <definedName name="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2DocOpenMode" hidden="1">"AS2DocumentEdit"</definedName>
    <definedName name="AS2NamedRange" hidden="1">18</definedName>
    <definedName name="asaasaas" localSheetId="3" hidden="1">{#N/A,#N/A,TRUE,"indice";#N/A,#N/A,TRUE,"indicadores";#N/A,#N/A,TRUE,"comentarios"}</definedName>
    <definedName name="asaasaas" localSheetId="5" hidden="1">{#N/A,#N/A,TRUE,"indice";#N/A,#N/A,TRUE,"indicadores";#N/A,#N/A,TRUE,"comentarios"}</definedName>
    <definedName name="asaasaas" hidden="1">{#N/A,#N/A,TRUE,"indice";#N/A,#N/A,TRUE,"indicadores";#N/A,#N/A,TRUE,"comentarios"}</definedName>
    <definedName name="asaasas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ad" localSheetId="3" hidden="1">{"'gráf jan00'!$A$1:$AK$41"}</definedName>
    <definedName name="asdad" localSheetId="5" hidden="1">{"'gráf jan00'!$A$1:$AK$41"}</definedName>
    <definedName name="asdad" hidden="1">{"'gráf jan00'!$A$1:$AK$41"}</definedName>
    <definedName name="asdadadad" localSheetId="3" hidden="1">{"'gráf jan00'!$A$1:$AK$41"}</definedName>
    <definedName name="asdadadad" localSheetId="5" hidden="1">{"'gráf jan00'!$A$1:$AK$41"}</definedName>
    <definedName name="asdadadad" hidden="1">{"'gráf jan00'!$A$1:$AK$41"}</definedName>
    <definedName name="asdasdasdas" localSheetId="3" hidden="1">{"'gráf jan00'!$A$1:$AK$41"}</definedName>
    <definedName name="asdasdasdas" localSheetId="5" hidden="1">{"'gráf jan00'!$A$1:$AK$41"}</definedName>
    <definedName name="asdasdasdas" hidden="1">{"'gráf jan00'!$A$1:$AK$41"}</definedName>
    <definedName name="ASDF" localSheetId="3" hidden="1">{#N/A,#N/A,TRUE,"Serviços"}</definedName>
    <definedName name="ASDF" localSheetId="5" hidden="1">{#N/A,#N/A,TRUE,"Serviços"}</definedName>
    <definedName name="ASDF" hidden="1">{#N/A,#N/A,TRUE,"Serviços"}</definedName>
    <definedName name="ASDF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sdfasfsafasf" localSheetId="3" hidden="1">{"'CptDifn'!$AA$32:$AG$32"}</definedName>
    <definedName name="asdfasfsafasf" localSheetId="5" hidden="1">{"'CptDifn'!$AA$32:$AG$32"}</definedName>
    <definedName name="asdfasfsafasf" hidden="1">{"'CptDifn'!$AA$32:$AG$32"}</definedName>
    <definedName name="ASDFG" localSheetId="3" hidden="1">{#N/A,#N/A,TRUE,"Serviços"}</definedName>
    <definedName name="ASDFG" localSheetId="5" hidden="1">{#N/A,#N/A,TRUE,"Serviços"}</definedName>
    <definedName name="ASDFG" hidden="1">{#N/A,#N/A,TRUE,"Serviços"}</definedName>
    <definedName name="asdg" localSheetId="3" hidden="1">{"'gráf jan00'!$A$1:$AK$41"}</definedName>
    <definedName name="asdg" localSheetId="5" hidden="1">{"'gráf jan00'!$A$1:$AK$41"}</definedName>
    <definedName name="asdg" hidden="1">{"'gráf jan00'!$A$1:$AK$41"}</definedName>
    <definedName name="asdryhsdfh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D" localSheetId="3" hidden="1">{"'Quadro'!$A$4:$BG$78"}</definedName>
    <definedName name="ASDSD" localSheetId="5" hidden="1">{"'Quadro'!$A$4:$BG$78"}</definedName>
    <definedName name="ASDSD" hidden="1">{"'Quadro'!$A$4:$BG$78"}</definedName>
    <definedName name="ASF">#N/A</definedName>
    <definedName name="ASFGG" localSheetId="3" hidden="1">{#N/A,#N/A,TRUE,"Serviços"}</definedName>
    <definedName name="ASFGG" localSheetId="5" hidden="1">{#N/A,#N/A,TRUE,"Serviços"}</definedName>
    <definedName name="ASFGG" hidden="1">{#N/A,#N/A,TRUE,"Serviços"}</definedName>
    <definedName name="asrgadg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s" localSheetId="3" hidden="1">{#N/A,#N/A,FALSE,"GQGEMPRE"}</definedName>
    <definedName name="ass" localSheetId="5" hidden="1">{#N/A,#N/A,FALSE,"GQGEMPRE"}</definedName>
    <definedName name="ass" hidden="1">{#N/A,#N/A,FALSE,"GQGEMPRE"}</definedName>
    <definedName name="Ass.Méd.Adm.Local">#REF!</definedName>
    <definedName name="Assist.Médica">#REF!</definedName>
    <definedName name="ASSS" localSheetId="3" hidden="1">{#N/A,#N/A,FALSE,"GQGEMPRE"}</definedName>
    <definedName name="ASSS" localSheetId="5" hidden="1">{#N/A,#N/A,FALSE,"GQGEMPRE"}</definedName>
    <definedName name="ASSS" hidden="1">{#N/A,#N/A,FALSE,"GQGEMPRE"}</definedName>
    <definedName name="ASWEFGQ3" localSheetId="3" hidden="1">{"'gráf jan00'!$A$1:$AK$41"}</definedName>
    <definedName name="ASWEFGQ3" localSheetId="5" hidden="1">{"'gráf jan00'!$A$1:$AK$41"}</definedName>
    <definedName name="ASWEFGQ3" hidden="1">{"'gráf jan00'!$A$1:$AK$41"}</definedName>
    <definedName name="At">#REF!</definedName>
    <definedName name="ATEND">#REF!</definedName>
    <definedName name="ATRA">#REF!</definedName>
    <definedName name="Atraso">#REF!</definedName>
    <definedName name="Aut_original">#REF!</definedName>
    <definedName name="Aut_resumo">#REF!</definedName>
    <definedName name="aux">#REF!</definedName>
    <definedName name="auxiliar">#REF!</definedName>
    <definedName name="Average_Hours_Month">#REF!</definedName>
    <definedName name="AW" localSheetId="3" hidden="1">{"'Quadro'!$A$4:$BG$78"}</definedName>
    <definedName name="AW" localSheetId="5" hidden="1">{"'Quadro'!$A$4:$BG$78"}</definedName>
    <definedName name="AW" hidden="1">{"'Quadro'!$A$4:$BG$78"}</definedName>
    <definedName name="awdasd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zzz" localSheetId="3" hidden="1">{#N/A,#N/A,FALSE,"GQGEMPRE"}</definedName>
    <definedName name="azzz" localSheetId="5" hidden="1">{#N/A,#N/A,FALSE,"GQGEMPRE"}</definedName>
    <definedName name="azzz" hidden="1">{#N/A,#N/A,FALSE,"GQGEMPRE"}</definedName>
    <definedName name="b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LANCE">#REF!</definedName>
    <definedName name="BALANCO" localSheetId="3">#REF!</definedName>
    <definedName name="BALANCO" localSheetId="5">#REF!</definedName>
    <definedName name="BALANCO">#REF!</definedName>
    <definedName name="Banco_dados_IM">#REF!</definedName>
    <definedName name="_xlnm.Database">#REF!</definedName>
    <definedName name="Banco1">#REF!</definedName>
    <definedName name="ba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CHEIA">#N/A</definedName>
    <definedName name="BARRAS">#N/A</definedName>
    <definedName name="BARRAUM">#N/A</definedName>
    <definedName name="BASE">#REF!</definedName>
    <definedName name="BATCHAREA1">#REF!</definedName>
    <definedName name="BATCHAREA10">#REF!</definedName>
    <definedName name="BATCHAREA11">#REF!</definedName>
    <definedName name="BATCHAREA12">#REF!</definedName>
    <definedName name="BATCHAREA13">#REF!</definedName>
    <definedName name="BATCHAREA14">#REF!</definedName>
    <definedName name="BATCHAREA2">#REF!</definedName>
    <definedName name="BATCHAREA3">#REF!</definedName>
    <definedName name="BATCHAREA4">#REF!</definedName>
    <definedName name="BATCHAREA5">#REF!</definedName>
    <definedName name="BATCHAREA6">#REF!</definedName>
    <definedName name="BATCHAREA7">#REF!</definedName>
    <definedName name="BATCHAREA8">#REF!</definedName>
    <definedName name="BATCHAREA9">#REF!</definedName>
    <definedName name="BATCHINDICATOR">#REF!</definedName>
    <definedName name="bb">#REF!</definedName>
    <definedName name="bbb" localSheetId="3" hidden="1">{#N/A,#N/A,FALSE,"CW Summary";#N/A,#N/A,FALSE,"Weekly Tracking";#N/A,#N/A,FALSE,"MSA";#N/A,#N/A,FALSE,"Parts";#N/A,#N/A,FALSE,"RS";#N/A,#N/A,FALSE,"Mods";#N/A,#N/A,FALSE,"GEVISA";#N/A,#N/A,FALSE,"HQ"}</definedName>
    <definedName name="bbb" localSheetId="5" hidden="1">{#N/A,#N/A,FALSE,"CW Summary";#N/A,#N/A,FALSE,"Weekly Tracking";#N/A,#N/A,FALSE,"MSA";#N/A,#N/A,FALSE,"Parts";#N/A,#N/A,FALSE,"RS";#N/A,#N/A,FALSE,"Mods";#N/A,#N/A,FALSE,"GEVISA";#N/A,#N/A,FALSE,"HQ"}</definedName>
    <definedName name="bbb" hidden="1">{#N/A,#N/A,FALSE,"CW Summary";#N/A,#N/A,FALSE,"Weekly Tracking";#N/A,#N/A,FALSE,"MSA";#N/A,#N/A,FALSE,"Parts";#N/A,#N/A,FALSE,"RS";#N/A,#N/A,FALSE,"Mods";#N/A,#N/A,FALSE,"GEVISA";#N/A,#N/A,FALSE,"HQ"}</definedName>
    <definedName name="bbbb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BBBBBBBBBB">#REF!</definedName>
    <definedName name="bbbbbbbbbbbbb">#REF!</definedName>
    <definedName name="bbbbbbbbbbbbbbbbbbbbbbbbbbbbbbbb" localSheetId="3" hidden="1">{"'REL CUSTODIF'!$B$1:$H$72"}</definedName>
    <definedName name="bbbbbbbbbbbbbbbbbbbbbbbbbbbbbbbb" localSheetId="5" hidden="1">{"'REL CUSTODIF'!$B$1:$H$72"}</definedName>
    <definedName name="bbbbbbbbbbbbbbbbbbbbbbbbbbbbbbbb" hidden="1">{"'REL CUSTODIF'!$B$1:$H$72"}</definedName>
    <definedName name="Bbn" localSheetId="3" hidden="1">{"'IndicadoresRH'!$AA$50:$AP$67"}</definedName>
    <definedName name="Bbn" localSheetId="5" hidden="1">{"'IndicadoresRH'!$AA$50:$AP$67"}</definedName>
    <definedName name="Bbn" hidden="1">{"'IndicadoresRH'!$AA$50:$AP$67"}</definedName>
    <definedName name="bd" localSheetId="3" hidden="1">{"'IndicadoresRH'!$AA$50:$AP$67"}</definedName>
    <definedName name="bd" localSheetId="5" hidden="1">{"'IndicadoresRH'!$AA$50:$AP$67"}</definedName>
    <definedName name="bd" hidden="1">{"'IndicadoresRH'!$AA$50:$AP$67"}</definedName>
    <definedName name="bd_histograma">#REF!</definedName>
    <definedName name="bddmatt">#REF!</definedName>
    <definedName name="BDI">#REF!</definedName>
    <definedName name="BDI___0">#REF!</definedName>
    <definedName name="BDIFIXO">#REF!</definedName>
    <definedName name="BDImol">#REF!</definedName>
    <definedName name="BDIUNIT">#REF!</definedName>
    <definedName name="bdnfbhb">#REF!</definedName>
    <definedName name="BFILE_PRINT">#REF!</definedName>
    <definedName name="bi">#REF!</definedName>
    <definedName name="bl">#REF!</definedName>
    <definedName name="BLOCO">#REF!</definedName>
    <definedName name="BLPH200001" hidden="1">#REF!</definedName>
    <definedName name="bocais">#REF!</definedName>
    <definedName name="BOT">#REF!</definedName>
    <definedName name="br">#REF!</definedName>
    <definedName name="BRANCO">#N/A</definedName>
    <definedName name="BRANCO1">#N/A</definedName>
    <definedName name="BR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">#REF!</definedName>
    <definedName name="BRITA_1">#REF!</definedName>
    <definedName name="BRITA_1_2">#REF!</definedName>
    <definedName name="BRITA_1_3">#REF!</definedName>
    <definedName name="BRITA_2">#REF!</definedName>
    <definedName name="BRITA_3">#REF!</definedName>
    <definedName name="BRITA_4">#REF!</definedName>
    <definedName name="BRITAGE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UCUTU">#REF!</definedName>
    <definedName name="BuiltIn_Print_Area">#REF!</definedName>
    <definedName name="BuiltIn_Print_Titles">#REF!</definedName>
    <definedName name="BUSCTAB">#N/A</definedName>
    <definedName name="BVZ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F" localSheetId="3" hidden="1">{"'Quadro'!$A$4:$BG$78"}</definedName>
    <definedName name="BXF" localSheetId="5" hidden="1">{"'Quadro'!$A$4:$BG$78"}</definedName>
    <definedName name="BXF" hidden="1">{"'Quadro'!$A$4:$BG$78"}</definedName>
    <definedName name="BZCZ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ç" localSheetId="3" hidden="1">{"'gráf jan00'!$A$1:$AK$41"}</definedName>
    <definedName name="ç" localSheetId="5" hidden="1">{"'gráf jan00'!$A$1:$AK$41"}</definedName>
    <definedName name="ç" hidden="1">{"'gráf jan00'!$A$1:$AK$41"}</definedName>
    <definedName name="C_">#REF!</definedName>
    <definedName name="C_Agrupada">#REF!</definedName>
    <definedName name="c_c" localSheetId="3" hidden="1">{"'REL CUSTODIF'!$B$1:$H$72"}</definedName>
    <definedName name="c_c" localSheetId="5" hidden="1">{"'REL CUSTODIF'!$B$1:$H$72"}</definedName>
    <definedName name="c_c" hidden="1">{"'REL CUSTODIF'!$B$1:$H$72"}</definedName>
    <definedName name="C_Localiz">#REF!</definedName>
    <definedName name="c250500000">#REF!</definedName>
    <definedName name="CAB">#REF!</definedName>
    <definedName name="cabe">#REF!</definedName>
    <definedName name="cabeca">#REF!</definedName>
    <definedName name="CabeçalhosdeDia">LEFT(TEXT(#REF!,"ddd"),1)</definedName>
    <definedName name="CabeçalhosdeMês">UPPER(TEXT(#REF!,"mmmm"))</definedName>
    <definedName name="caca">#REF!</definedName>
    <definedName name="CAD">#REF!</definedName>
    <definedName name="CAFE">#REF!</definedName>
    <definedName name="caix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EQUIP">#N/A</definedName>
    <definedName name="CALCULA">#REF!</definedName>
    <definedName name="CALCULACP">#REF!</definedName>
    <definedName name="calculo_de_hf">#REF!</definedName>
    <definedName name="Calendário" localSheetId="3">'Time line '!DaysAndWeeks + DateOfFirst - WEEKDAY(DateOfFirst,2)</definedName>
    <definedName name="Calendário" localSheetId="5">'Time line  (2)'!DaysAndWeeks + DateOfFirst - WEEKDAY(DateOfFirst,2)</definedName>
    <definedName name="Calendário">DaysAndWeeks + DateOfFirst - WEEKDAY(DateOfFirst,2)</definedName>
    <definedName name="Calendario_Dia">#REF!</definedName>
    <definedName name="Calendario_Mes">#REF!</definedName>
    <definedName name="Calendario_Semana">#REF!</definedName>
    <definedName name="CalendárioYear">#REF!</definedName>
    <definedName name="Calh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h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INHÃO">#REF!</definedName>
    <definedName name="CAMPOS_EDICAO">#REF!,#REF!,#REF!</definedName>
    <definedName name="CANCELADA">#REF!</definedName>
    <definedName name="CANTEIRO">#REF!</definedName>
    <definedName name="CANTEIRO___0">#REF!</definedName>
    <definedName name="CAP">#REF!</definedName>
    <definedName name="CAPA" localSheetId="3" hidden="1">{#N/A,#N/A,TRUE,"Serviços"}</definedName>
    <definedName name="CAPA" localSheetId="5" hidden="1">{#N/A,#N/A,TRUE,"Serviços"}</definedName>
    <definedName name="CAPA" hidden="1">{#N/A,#N/A,TRUE,"Serviços"}</definedName>
    <definedName name="capa1" localSheetId="3" hidden="1">{#N/A,#N/A,TRUE,"Serviços"}</definedName>
    <definedName name="capa1" localSheetId="5" hidden="1">{#N/A,#N/A,TRUE,"Serviços"}</definedName>
    <definedName name="capa1" hidden="1">{#N/A,#N/A,TRUE,"Serviços"}</definedName>
    <definedName name="capa2" localSheetId="3" hidden="1">{#N/A,#N/A,TRUE,"Serviços"}</definedName>
    <definedName name="capa2" localSheetId="5" hidden="1">{#N/A,#N/A,TRUE,"Serviços"}</definedName>
    <definedName name="capa2" hidden="1">{#N/A,#N/A,TRUE,"Serviços"}</definedName>
    <definedName name="capacitação" localSheetId="3" hidden="1">{"'gráf jan00'!$A$1:$AK$41"}</definedName>
    <definedName name="capacitação" localSheetId="5" hidden="1">{"'gráf jan00'!$A$1:$AK$41"}</definedName>
    <definedName name="capacitação" hidden="1">{"'gráf jan00'!$A$1:$AK$41"}</definedName>
    <definedName name="CAPAT">#REF!</definedName>
    <definedName name="CAPTAÇÃ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P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r" localSheetId="3" hidden="1">{#N/A,#N/A,FALSE,"PCOL"}</definedName>
    <definedName name="car" localSheetId="5" hidden="1">{#N/A,#N/A,FALSE,"PCOL"}</definedName>
    <definedName name="car" hidden="1">{#N/A,#N/A,FALSE,"PCOL"}</definedName>
    <definedName name="Carros">#REF!</definedName>
    <definedName name="Carros1">#REF!</definedName>
    <definedName name="CASH_FLOW">#REF!</definedName>
    <definedName name="CBR">#REF!</definedName>
    <definedName name="CBSTabCircuitos">#REF!</definedName>
    <definedName name="çç" localSheetId="3" hidden="1">{"'REL CUSTODIF'!$B$1:$H$72"}</definedName>
    <definedName name="çç" localSheetId="5" hidden="1">{"'REL CUSTODIF'!$B$1:$H$72"}</definedName>
    <definedName name="çç" hidden="1">{"'REL CUSTODIF'!$B$1:$H$72"}</definedName>
    <definedName name="ccc" localSheetId="3" hidden="1">{#N/A,#N/A,FALSE,"CW Summary";#N/A,#N/A,FALSE,"Weekly Tracking";#N/A,#N/A,FALSE,"MSA";#N/A,#N/A,FALSE,"Parts";#N/A,#N/A,FALSE,"RS";#N/A,#N/A,FALSE,"Mods";#N/A,#N/A,FALSE,"GEVISA"}</definedName>
    <definedName name="ccc" localSheetId="5" hidden="1">{#N/A,#N/A,FALSE,"CW Summary";#N/A,#N/A,FALSE,"Weekly Tracking";#N/A,#N/A,FALSE,"MSA";#N/A,#N/A,FALSE,"Parts";#N/A,#N/A,FALSE,"RS";#N/A,#N/A,FALSE,"Mods";#N/A,#N/A,FALSE,"GEVISA"}</definedName>
    <definedName name="ccc" hidden="1">{#N/A,#N/A,FALSE,"CW Summary";#N/A,#N/A,FALSE,"Weekly Tracking";#N/A,#N/A,FALSE,"MSA";#N/A,#N/A,FALSE,"Parts";#N/A,#N/A,FALSE,"RS";#N/A,#N/A,FALSE,"Mods";#N/A,#N/A,FALSE,"GEVISA"}</definedName>
    <definedName name="cccc">#REF!</definedName>
    <definedName name="cccc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cccccccc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enter_Tipo_Moeda">#REF!</definedName>
    <definedName name="CCM">#REF!</definedName>
    <definedName name="ccusto">#REF!</definedName>
    <definedName name="CD">#REF!</definedName>
    <definedName name="Cercamento">#REF!</definedName>
    <definedName name="CEST">#REF!</definedName>
    <definedName name="cfartaetfE" localSheetId="3" hidden="1">{"'REL CUSTODIF'!$B$1:$H$72"}</definedName>
    <definedName name="cfartaetfE" localSheetId="5" hidden="1">{"'REL CUSTODIF'!$B$1:$H$72"}</definedName>
    <definedName name="cfartaetfE" hidden="1">{"'REL CUSTODIF'!$B$1:$H$72"}</definedName>
    <definedName name="CFILE_PRINT">#REF!</definedName>
    <definedName name="charles" localSheetId="3" hidden="1">{"'gráf jan00'!$A$1:$AK$41"}</definedName>
    <definedName name="charles" localSheetId="5" hidden="1">{"'gráf jan00'!$A$1:$AK$41"}</definedName>
    <definedName name="charles" hidden="1">{"'gráf jan00'!$A$1:$AK$41"}</definedName>
    <definedName name="CHECKSSO_OUT" localSheetId="3" hidden="1">{"'Quadro'!$A$4:$BG$78"}</definedName>
    <definedName name="CHECKSSO_OUT" localSheetId="5" hidden="1">{"'Quadro'!$A$4:$BG$78"}</definedName>
    <definedName name="CHECKSSO_OUT" hidden="1">{"'Quadro'!$A$4:$BG$78"}</definedName>
    <definedName name="CHEKGER">#N/A</definedName>
    <definedName name="CHEKGER1">#N/A</definedName>
    <definedName name="CHEKGER2">#N/A</definedName>
    <definedName name="chemical">#REF!</definedName>
    <definedName name="CHF">#REF!</definedName>
    <definedName name="Chuva">#REF!:#REF!</definedName>
    <definedName name="Chuvas">#REF!</definedName>
    <definedName name="CI">#REF!</definedName>
    <definedName name="Cia">#REF!</definedName>
    <definedName name="ciclos" localSheetId="3" hidden="1">{"'RR'!$A$2:$E$81"}</definedName>
    <definedName name="ciclos" localSheetId="5" hidden="1">{"'RR'!$A$2:$E$81"}</definedName>
    <definedName name="ciclos" hidden="1">{"'RR'!$A$2:$E$81"}</definedName>
    <definedName name="cida" localSheetId="3" hidden="1">{#N/A,#N/A,FALSE,"PCOL"}</definedName>
    <definedName name="cida" localSheetId="5" hidden="1">{#N/A,#N/A,FALSE,"PCOL"}</definedName>
    <definedName name="cida" hidden="1">{#N/A,#N/A,FALSE,"PCOL"}</definedName>
    <definedName name="CIMENTO">#REF!</definedName>
    <definedName name="CIMENTO_1">#REF!</definedName>
    <definedName name="CIMENTO_1_2">#REF!</definedName>
    <definedName name="CIMENTO_1_3">#REF!</definedName>
    <definedName name="CIMENTO_2">#REF!</definedName>
    <definedName name="CIMENTO_3">#REF!</definedName>
    <definedName name="CIMENTO_4">#REF!</definedName>
    <definedName name="CIND">#REF!</definedName>
    <definedName name="Civil">#REF!</definedName>
    <definedName name="çl" localSheetId="3" hidden="1">{"'Dados Gerais'!$A$1:$M$37"}</definedName>
    <definedName name="çl" localSheetId="5" hidden="1">{"'Dados Gerais'!$A$1:$M$37"}</definedName>
    <definedName name="çl" hidden="1">{"'Dados Gerais'!$A$1:$M$37"}</definedName>
    <definedName name="classe_HH">#REF!</definedName>
    <definedName name="CLASSIFICACAO">OFFSET(#REF!,0,0,COUNTA(#REF!)-1,1)</definedName>
    <definedName name="claudio" localSheetId="3" hidden="1">{"'gráf jan00'!$A$1:$AK$41"}</definedName>
    <definedName name="claudio" localSheetId="5" hidden="1">{"'gráf jan00'!$A$1:$AK$41"}</definedName>
    <definedName name="claudio" hidden="1">{"'gráf jan00'!$A$1:$AK$41"}</definedName>
    <definedName name="çlçl" localSheetId="3" hidden="1">{"'Quadro'!$A$4:$BG$78"}</definedName>
    <definedName name="çlçl" localSheetId="5" hidden="1">{"'Quadro'!$A$4:$BG$78"}</definedName>
    <definedName name="çlçl" hidden="1">{"'Quadro'!$A$4:$BG$78"}</definedName>
    <definedName name="CLEARAREA">#REF!</definedName>
    <definedName name="CLI">#REF!</definedName>
    <definedName name="CLIENTE">#REF!</definedName>
    <definedName name="CLIENTES">#REF!</definedName>
    <definedName name="Clschv">#REF!</definedName>
    <definedName name="CM">#REF!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">#REF!</definedName>
    <definedName name="COA">#REF!</definedName>
    <definedName name="COB">#REF!</definedName>
    <definedName name="Cobra" localSheetId="3" hidden="1">{#N/A,#N/A,FALSE,"PCOL"}</definedName>
    <definedName name="Cobra" localSheetId="5" hidden="1">{#N/A,#N/A,FALSE,"PCOL"}</definedName>
    <definedName name="Cobra" hidden="1">{#N/A,#N/A,FALSE,"PCOL"}</definedName>
    <definedName name="Cobre" localSheetId="3" hidden="1">{"'CptDifn'!$AA$32:$AG$32"}</definedName>
    <definedName name="Cobre" localSheetId="5" hidden="1">{"'CptDifn'!$AA$32:$AG$32"}</definedName>
    <definedName name="Cobre" hidden="1">{"'CptDifn'!$AA$32:$AG$32"}</definedName>
    <definedName name="COBRE_NIQUEL">#REF!</definedName>
    <definedName name="COC">#REF!</definedName>
    <definedName name="coco">#REF!</definedName>
    <definedName name="COD">#N/A</definedName>
    <definedName name="CODENOME">#N/A</definedName>
    <definedName name="CODENOME1" hidden="1">#N/A</definedName>
    <definedName name="CODIB">#REF!</definedName>
    <definedName name="CODIC">#REF!</definedName>
    <definedName name="CODICA">#REF!</definedName>
    <definedName name="CODICD">#REF!</definedName>
    <definedName name="CODICM">#REF!</definedName>
    <definedName name="CODICT">#REF!</definedName>
    <definedName name="CODICV">#REF!</definedName>
    <definedName name="CODIE">#REF!</definedName>
    <definedName name="CODIF">#REF!</definedName>
    <definedName name="CODIGO">#REF!</definedName>
    <definedName name="Código">#REF!</definedName>
    <definedName name="CÓDIGO_FUNÇÕES">#REF!</definedName>
    <definedName name="CÓDIGO_SIM_NÃO">#REF!</definedName>
    <definedName name="CODIGOS">#REF!</definedName>
    <definedName name="CODIGOSEC">#REF!</definedName>
    <definedName name="CODIGOSERV">#REF!</definedName>
    <definedName name="CODILE">#REF!</definedName>
    <definedName name="CODIM">#REF!</definedName>
    <definedName name="CODIN">#REF!</definedName>
    <definedName name="CODIQ">#REF!</definedName>
    <definedName name="CODIS">#REF!</definedName>
    <definedName name="CODISJP">#REF!</definedName>
    <definedName name="CODISP">#REF!</definedName>
    <definedName name="CODISRP">#REF!</definedName>
    <definedName name="CODITACF">#REF!</definedName>
    <definedName name="CODITACI">#REF!</definedName>
    <definedName name="CODITACR">#REF!</definedName>
    <definedName name="CODITACS">#REF!</definedName>
    <definedName name="CODITI">#REF!</definedName>
    <definedName name="CODITPEADS">#REF!</definedName>
    <definedName name="CODITPVCR">#REF!</definedName>
    <definedName name="CODITPVCS">#REF!</definedName>
    <definedName name="CODITRA">#REF!</definedName>
    <definedName name="CODSECK">#REF!</definedName>
    <definedName name="CODSECLB">#REF!</definedName>
    <definedName name="CODSERVK">#REF!</definedName>
    <definedName name="CODSERVLB">#REF!</definedName>
    <definedName name="COEFCUSIND">#REF!</definedName>
    <definedName name="cofins">#REF!</definedName>
    <definedName name="COLAUX">#REF!</definedName>
    <definedName name="COLCOD">#REF!</definedName>
    <definedName name="COLCOEF">#REF!</definedName>
    <definedName name="COLDESC">#REF!</definedName>
    <definedName name="COLDIF">#REF!</definedName>
    <definedName name="COLDIFHH">#REF!</definedName>
    <definedName name="COLEQUIP">#REF!</definedName>
    <definedName name="COLEQUIP1">#REF!</definedName>
    <definedName name="COLETA">OFFSET(#REF!,0,0,COUNTA(#REF!)-1,1)</definedName>
    <definedName name="COLHHCAL">#REF!</definedName>
    <definedName name="COLHHFUN">#REF!</definedName>
    <definedName name="COLHHPROV">#REF!</definedName>
    <definedName name="COLHHSECCAL">#REF!</definedName>
    <definedName name="COLI">#REF!:INDIRECT(#REF!)</definedName>
    <definedName name="COLIND">#REF!</definedName>
    <definedName name="COLINDPROV">#REF!</definedName>
    <definedName name="COLINSUMOS">#REF!</definedName>
    <definedName name="COLMAT">#REF!</definedName>
    <definedName name="COLMAT1">#REF!</definedName>
    <definedName name="COLMAT10">#REF!</definedName>
    <definedName name="COLMAT2">#REF!</definedName>
    <definedName name="COLMAT3">#REF!</definedName>
    <definedName name="COLMAT4">#REF!</definedName>
    <definedName name="COLMAT5">#REF!</definedName>
    <definedName name="COLMAT6">#REF!</definedName>
    <definedName name="COLMAT7">#REF!</definedName>
    <definedName name="COLMAT8">#REF!</definedName>
    <definedName name="COLMAT9">#REF!</definedName>
    <definedName name="COLPRECOS">#REF!</definedName>
    <definedName name="COLPRECOUNIT">#REF!</definedName>
    <definedName name="COLPT">#REF!</definedName>
    <definedName name="COLPU">#REF!</definedName>
    <definedName name="COLQUANT">#REF!</definedName>
    <definedName name="ColSaldo">#REF!</definedName>
    <definedName name="COLUNASAUX">#REF!</definedName>
    <definedName name="COLUNID">#REF!</definedName>
    <definedName name="Comb.OpçãoLocação">#REF!</definedName>
    <definedName name="Comb.Transp.Operac.">#REF!</definedName>
    <definedName name="Combustível">#REF!</definedName>
    <definedName name="COMECO">#N/A</definedName>
    <definedName name="comm">#REF!</definedName>
    <definedName name="COMP">#REF!</definedName>
    <definedName name="COMPAUX">#REF!</definedName>
    <definedName name="COMPLETO">#REF!</definedName>
    <definedName name="composicao">#REF!</definedName>
    <definedName name="COMPRADOR">OFFSET(#REF!,0,0,COUNTA(#REF!)-1,1)</definedName>
    <definedName name="COMPRESSION">#REF!</definedName>
    <definedName name="ComprimentoCanteiro">#REF!</definedName>
    <definedName name="COMUNICACAO">#REF!</definedName>
    <definedName name="Con">#REF!</definedName>
    <definedName name="CONCEL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ncentrado_Cobre" localSheetId="3" hidden="1">{"'CptDifn'!$AA$32:$AG$32"}</definedName>
    <definedName name="Concentrado_Cobre" localSheetId="5" hidden="1">{"'CptDifn'!$AA$32:$AG$32"}</definedName>
    <definedName name="Concentrado_Cobre" hidden="1">{"'CptDifn'!$AA$32:$AG$32"}</definedName>
    <definedName name="concorrentes" localSheetId="3" hidden="1">{#N/A,#N/A,FALSE,"Cronograma";#N/A,#N/A,FALSE,"Cronogr. 2"}</definedName>
    <definedName name="concorrentes" localSheetId="5" hidden="1">{#N/A,#N/A,FALSE,"Cronograma";#N/A,#N/A,FALSE,"Cronogr. 2"}</definedName>
    <definedName name="concorrentes" hidden="1">{#N/A,#N/A,FALSE,"Cronograma";#N/A,#N/A,FALSE,"Cronogr. 2"}</definedName>
    <definedName name="CONTADOR">#N/A</definedName>
    <definedName name="Contas">#REF!</definedName>
    <definedName name="CONTCRON">#REF!</definedName>
    <definedName name="CONTCRONMOB">#N/A</definedName>
    <definedName name="CONTFUN">#REF!</definedName>
    <definedName name="Contingência">#REF!</definedName>
    <definedName name="CONTLINHA">#N/A</definedName>
    <definedName name="CONTP">#REF!</definedName>
    <definedName name="CONTPI">#REF!</definedName>
    <definedName name="Contratação">#REF!</definedName>
    <definedName name="Contratos">#REF!</definedName>
    <definedName name="COPDIR">#N/A</definedName>
    <definedName name="Copia" localSheetId="3" hidden="1">{#N/A,#N/A,FALSE,"PCOL"}</definedName>
    <definedName name="Copia" localSheetId="5" hidden="1">{#N/A,#N/A,FALSE,"PCOL"}</definedName>
    <definedName name="Copia" hidden="1">{#N/A,#N/A,FALSE,"PCOL"}</definedName>
    <definedName name="COPIAFORM">#REF!</definedName>
    <definedName name="COPIAFORM1">#REF!</definedName>
    <definedName name="COPIAFORM2">#REF!</definedName>
    <definedName name="COPIAR">#N/A</definedName>
    <definedName name="copiaranch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aranch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COPIND">#N/A</definedName>
    <definedName name="cor" localSheetId="3" hidden="1">{"'gráf jan00'!$A$1:$AK$41"}</definedName>
    <definedName name="cor" localSheetId="5" hidden="1">{"'gráf jan00'!$A$1:$AK$41"}</definedName>
    <definedName name="cor" hidden="1">{"'gráf jan00'!$A$1:$AK$41"}</definedName>
    <definedName name="CORRET">#REF!</definedName>
    <definedName name="Cost_Center">#REF!</definedName>
    <definedName name="CostCenter">#REF!</definedName>
    <definedName name="CP">#REF!</definedName>
    <definedName name="CPMF">#REF!</definedName>
    <definedName name="CPUQUANTIDADE">#REF!</definedName>
    <definedName name="cpv">#REF!</definedName>
    <definedName name="critério">#REF!</definedName>
    <definedName name="critério1">#REF!</definedName>
    <definedName name="_xlnm.Criteria">#REF!</definedName>
    <definedName name="CRON">#REF!</definedName>
    <definedName name="CRONALCASA1">#REF!</definedName>
    <definedName name="CRONALCASA2">#REF!</definedName>
    <definedName name="CRONCANT1">#REF!</definedName>
    <definedName name="CRONCANT2">#REF!</definedName>
    <definedName name="CRONCANT3">#REF!</definedName>
    <definedName name="CRONCANT4">#REF!</definedName>
    <definedName name="CRONCANT5">#REF!</definedName>
    <definedName name="CRONEQLEVE1">#REF!</definedName>
    <definedName name="CRONEQLEVE2">#REF!</definedName>
    <definedName name="CRONEQLV2">#REF!</definedName>
    <definedName name="CRONEQLV3">#REF!</definedName>
    <definedName name="CRONEQLV4">#REF!</definedName>
    <definedName name="CRONEQLV5">#REF!</definedName>
    <definedName name="CRONEQLV7">#REF!</definedName>
    <definedName name="CRONEQLV8">#REF!</definedName>
    <definedName name="CRONEQMAN">#REF!</definedName>
    <definedName name="CRONEQPESALUG">#REF!</definedName>
    <definedName name="CRONFRETE1">#REF!</definedName>
    <definedName name="CRONFRETE2">#REF!</definedName>
    <definedName name="CRONGER">#N/A</definedName>
    <definedName name="CRONGERAL">#REF!</definedName>
    <definedName name="CRONHOSP1">#REF!</definedName>
    <definedName name="CRONIE1">#REF!</definedName>
    <definedName name="CRONIE2">#REF!</definedName>
    <definedName name="CRONIE3">#REF!</definedName>
    <definedName name="CRONIMP">#N/A</definedName>
    <definedName name="CRONMATCANT">#REF!</definedName>
    <definedName name="CRONMOEENG">#REF!</definedName>
    <definedName name="CRONMOEI">#REF!</definedName>
    <definedName name="CRONMOEI1">#REF!</definedName>
    <definedName name="CRONMOEI2">#REF!</definedName>
    <definedName name="CRONMOLE">#REF!</definedName>
    <definedName name="CRONMOLI1">#REF!</definedName>
    <definedName name="CRONMOLI2">#REF!</definedName>
    <definedName name="CRONMOLI3">#REF!</definedName>
    <definedName name="CRONMOPE">#REF!</definedName>
    <definedName name="CRONMOPI1">#REF!</definedName>
    <definedName name="CRONMOPI2">#REF!</definedName>
    <definedName name="CRONMUD1">#REF!</definedName>
    <definedName name="CRONO">#REF!</definedName>
    <definedName name="CRONOG0">#N/A</definedName>
    <definedName name="CRONOG1">#N/A</definedName>
    <definedName name="CRONOGFIS">#N/A</definedName>
    <definedName name="CRONOGRAMA">#REF!</definedName>
    <definedName name="Cronograma_SFim">#REF!</definedName>
    <definedName name="Cronograma_SInicio">#REF!</definedName>
    <definedName name="Cronograma_SPeriodo">#REF!</definedName>
    <definedName name="Cronograma2" localSheetId="3" hidden="1">{#N/A,#N/A,TRUE,"indice";#N/A,#N/A,TRUE,"indicadores";#N/A,#N/A,TRUE,"comentarios"}</definedName>
    <definedName name="Cronograma2" localSheetId="5" hidden="1">{#N/A,#N/A,TRUE,"indice";#N/A,#N/A,TRUE,"indicadores";#N/A,#N/A,TRUE,"comentarios"}</definedName>
    <definedName name="Cronograma2" hidden="1">{#N/A,#N/A,TRUE,"indice";#N/A,#N/A,TRUE,"indicadores";#N/A,#N/A,TRUE,"comentarios"}</definedName>
    <definedName name="CRONOGRAMAS">#N/A</definedName>
    <definedName name="CRONOPER">#REF!</definedName>
    <definedName name="CRONPAS1">#REF!</definedName>
    <definedName name="CRONPAS2">#REF!</definedName>
    <definedName name="CRONPERFORM">#REF!</definedName>
    <definedName name="CRONRECMAT">#REF!</definedName>
    <definedName name="CRONRESFEC1">#REF!</definedName>
    <definedName name="CRONRESFEC2">#REF!</definedName>
    <definedName name="CRONRESFEC3">#REF!</definedName>
    <definedName name="CRONSERVDIV">#REF!</definedName>
    <definedName name="CRONSUBEMP1">#REF!</definedName>
    <definedName name="CRONSUBEMP2">#REF!</definedName>
    <definedName name="CRONTESTES">#REF!</definedName>
    <definedName name="CRONTOPOGCIVIL">#REF!</definedName>
    <definedName name="CRONVEICMIP1">#REF!</definedName>
    <definedName name="CRONVEICMIP2">#REF!</definedName>
    <definedName name="CS">#REF!</definedName>
    <definedName name="CSLL">#REF!</definedName>
    <definedName name="CSNo">#REF!</definedName>
    <definedName name="CSYes">#REF!</definedName>
    <definedName name="CT">#REF!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">#REF!</definedName>
    <definedName name="CURRENCY">#REF!</definedName>
    <definedName name="CurrentData">#REF!</definedName>
    <definedName name="curva">#REF!</definedName>
    <definedName name="CURVA10">#REF!</definedName>
    <definedName name="CURVA11">#REF!</definedName>
    <definedName name="CURVA12">#REF!</definedName>
    <definedName name="CURVA13">#REF!</definedName>
    <definedName name="CURVA14">#REF!</definedName>
    <definedName name="CURVA15">#REF!</definedName>
    <definedName name="CURVA16">#REF!</definedName>
    <definedName name="CURVA17">#REF!</definedName>
    <definedName name="CURVA18">#REF!</definedName>
    <definedName name="CURVA19">#REF!</definedName>
    <definedName name="CURVA2">#REF!</definedName>
    <definedName name="CURVA20">#REF!</definedName>
    <definedName name="CURVA21">#REF!</definedName>
    <definedName name="CURVA22">#REF!</definedName>
    <definedName name="CURVA23">#REF!</definedName>
    <definedName name="CURVA24">#REF!</definedName>
    <definedName name="CURVA3">#REF!</definedName>
    <definedName name="CURVA4">#REF!</definedName>
    <definedName name="CURVA5">#REF!</definedName>
    <definedName name="CURVA6">#REF!</definedName>
    <definedName name="CURVA7">#REF!</definedName>
    <definedName name="CURVA8">#REF!</definedName>
    <definedName name="CURVA9">#REF!</definedName>
    <definedName name="CURVA90_790">#REF!</definedName>
    <definedName name="CURVA90_790_SCH">#REF!</definedName>
    <definedName name="CurveS50">#REF!</definedName>
    <definedName name="CUSTO">#REF!</definedName>
    <definedName name="CUSTO___0">#REF!</definedName>
    <definedName name="CUSTO___0___0">#REF!</definedName>
    <definedName name="CUSTO_ADM_LOCAL_E_MOBILIZACAO">SUMIF(#REF!,"IR5101",#REF!)+SUMIF(#REF!,"IR5102",#REF!)+SUMIF(#REF!,"IR5103",#REF!)+ SUMIF(#REF!,"IR5104",#REF!) + SUMIF(#REF!,"IR5105",#REF!)+ SUMIF(#REF!,"IR5106",#REF!)+ SUMIF(#REF!,"IR5107",#REF!)</definedName>
    <definedName name="CUSTO_DE_COMBUSTÍVEL_E_LUFRIFICANTES">#REF!</definedName>
    <definedName name="Custo_Direto_de_Obras_Civis_e_Instalações_...........................................">#REF!</definedName>
    <definedName name="CUSTO_TREIN._GERAL">#REF!</definedName>
    <definedName name="CustoChamados">#REF!</definedName>
    <definedName name="CustoONCALL">#REF!</definedName>
    <definedName name="CustoOperac.Adm.Local">#REF!</definedName>
    <definedName name="CustoOperAdmLocal">#REF!</definedName>
    <definedName name="CUSTOSUNIT">#REF!</definedName>
    <definedName name="custot">#REF!</definedName>
    <definedName name="CustoTurno">#REF!</definedName>
    <definedName name="CV">#REF!</definedName>
    <definedName name="cvagf" localSheetId="3" hidden="1">{"'REL CUSTODIF'!$B$1:$H$72"}</definedName>
    <definedName name="cvagf" localSheetId="5" hidden="1">{"'REL CUSTODIF'!$B$1:$H$72"}</definedName>
    <definedName name="cvagf" hidden="1">{"'REL CUSTODIF'!$B$1:$H$72"}</definedName>
    <definedName name="cvrd2" localSheetId="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localSheetId="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2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localSheetId="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vrd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cxz" localSheetId="3" hidden="1">{"'gráf jan00'!$A$1:$AK$41"}</definedName>
    <definedName name="cxz" localSheetId="5" hidden="1">{"'gráf jan00'!$A$1:$AK$41"}</definedName>
    <definedName name="cxz" hidden="1">{"'gráf jan00'!$A$1:$AK$41"}</definedName>
    <definedName name="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d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os">#REF!</definedName>
    <definedName name="DAER1" localSheetId="3" hidden="1">{#N/A,#N/A,TRUE,"Serviços"}</definedName>
    <definedName name="DAER1" localSheetId="5" hidden="1">{#N/A,#N/A,TRUE,"Serviços"}</definedName>
    <definedName name="DAER1" hidden="1">{#N/A,#N/A,TRUE,"Serviços"}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Base_dos_Preços__Dez_2005">#REF!</definedName>
    <definedName name="DATA_HOJE">#REF!</definedName>
    <definedName name="DataInício">#REF!</definedName>
    <definedName name="DATMODELE">#REF!</definedName>
    <definedName name="DATMODMEC">#REF!</definedName>
    <definedName name="datosdec2">#REF!</definedName>
    <definedName name="datosfec2">#REF!</definedName>
    <definedName name="DATTML">#REF!</definedName>
    <definedName name="david" localSheetId="3" hidden="1">{"'gráf jan00'!$A$1:$AK$41"}</definedName>
    <definedName name="david" localSheetId="5" hidden="1">{"'gráf jan00'!$A$1:$AK$41"}</definedName>
    <definedName name="david" hidden="1">{"'gráf jan00'!$A$1:$AK$41"}</definedName>
    <definedName name="david1" localSheetId="3" hidden="1">{"'gráf jan00'!$A$1:$AK$41"}</definedName>
    <definedName name="david1" localSheetId="5" hidden="1">{"'gráf jan00'!$A$1:$AK$41"}</definedName>
    <definedName name="david1" hidden="1">{"'gráf jan00'!$A$1:$AK$41"}</definedName>
    <definedName name="DayRails" localSheetId="3">[0]!JanelaDataInício+ROW(#REF!)-1</definedName>
    <definedName name="DayRails" localSheetId="5">[0]!JanelaDataInício+ROW(#REF!)-1</definedName>
    <definedName name="DayRails">JanelaDataInício+ROW(#REF!)-1</definedName>
    <definedName name="DaysAndWeeks" localSheetId="3">{0,1,2,3,4,5,6} + {0;1;2;3;4;5}*7</definedName>
    <definedName name="DaysAndWeeks" localSheetId="5">{0,1,2,3,4,5,6} + {0;1;2;3;4;5}*7</definedName>
    <definedName name="DaysAndWeeks">{0,1,2,3,4,5,6} + {0;1;2;3;4;5}*7</definedName>
    <definedName name="dcDCEDSDFV" localSheetId="3" hidden="1">{"'REL CUSTODIF'!$B$1:$H$72"}</definedName>
    <definedName name="dcDCEDSDFV" localSheetId="5" hidden="1">{"'REL CUSTODIF'!$B$1:$H$72"}</definedName>
    <definedName name="dcDCEDSDFV" hidden="1">{"'REL CUSTODIF'!$B$1:$H$72"}</definedName>
    <definedName name="dcque">#REF!</definedName>
    <definedName name="dd" localSheetId="3" hidden="1">{"'Dados Gerais'!$A$1:$M$37"}</definedName>
    <definedName name="dd" localSheetId="5" hidden="1">{"'Dados Gerais'!$A$1:$M$37"}</definedName>
    <definedName name="dd" hidden="1">{"'Dados Gerais'!$A$1:$M$37"}</definedName>
    <definedName name="dd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DD">#REF!</definedName>
    <definedName name="ddddd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">#REF!</definedName>
    <definedName name="DDDDDDDDDDDDDDDDD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EEERE" localSheetId="3" hidden="1">{"'gráf jan00'!$A$1:$AK$41"}</definedName>
    <definedName name="DDEEERE" localSheetId="5" hidden="1">{"'gráf jan00'!$A$1:$AK$41"}</definedName>
    <definedName name="DDEEERE" hidden="1">{"'gráf jan00'!$A$1:$AK$41"}</definedName>
    <definedName name="ddf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d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_km">#REF!</definedName>
    <definedName name="DEAM" localSheetId="3" hidden="1">{"'CptDifn'!$AA$32:$AG$32"}</definedName>
    <definedName name="DEAM" localSheetId="5" hidden="1">{"'CptDifn'!$AA$32:$AG$32"}</definedName>
    <definedName name="DEAM" hidden="1">{"'CptDifn'!$AA$32:$AG$32"}</definedName>
    <definedName name="DEAS" localSheetId="3" hidden="1">{"'CptDifn'!$AA$32:$AG$32"}</definedName>
    <definedName name="DEAS" localSheetId="5" hidden="1">{"'CptDifn'!$AA$32:$AG$32"}</definedName>
    <definedName name="DEAS" hidden="1">{"'CptDifn'!$AA$32:$AG$32"}</definedName>
    <definedName name="DECG" localSheetId="3" hidden="1">{"'CptDifn'!$AA$32:$AG$32"}</definedName>
    <definedName name="DECG" localSheetId="5" hidden="1">{"'CptDifn'!$AA$32:$AG$32"}</definedName>
    <definedName name="DECG" hidden="1">{"'CptDifn'!$AA$32:$AG$32"}</definedName>
    <definedName name="dee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e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FEQUIP">#N/A</definedName>
    <definedName name="DEFEQUIP1">#N/A</definedName>
    <definedName name="defwe" localSheetId="3" hidden="1">{"'Quadro'!$A$4:$BG$78"}</definedName>
    <definedName name="defwe" localSheetId="5" hidden="1">{"'Quadro'!$A$4:$BG$78"}</definedName>
    <definedName name="defwe" hidden="1">{"'Quadro'!$A$4:$BG$78"}</definedName>
    <definedName name="DEGL" localSheetId="3" hidden="1">{"'CptDifn'!$AA$32:$AG$32"}</definedName>
    <definedName name="DEGL" localSheetId="5" hidden="1">{"'CptDifn'!$AA$32:$AG$32"}</definedName>
    <definedName name="DEGL" hidden="1">{"'CptDifn'!$AA$32:$AG$32"}</definedName>
    <definedName name="delet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ominação">#REF!</definedName>
    <definedName name="DEPÓSITO">#REF!</definedName>
    <definedName name="Depre.Transp.Operac.">#REF!</definedName>
    <definedName name="Depreciação">#REF!</definedName>
    <definedName name="deqwrfqe" localSheetId="3" hidden="1">{"'REL CUSTODIF'!$B$1:$H$72"}</definedName>
    <definedName name="deqwrfqe" localSheetId="5" hidden="1">{"'REL CUSTODIF'!$B$1:$H$72"}</definedName>
    <definedName name="deqwrfqe" hidden="1">{"'REL CUSTODIF'!$B$1:$H$72"}</definedName>
    <definedName name="d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obrir" localSheetId="3" hidden="1">{#N/A,#N/A,FALSE,"Cronograma";#N/A,#N/A,FALSE,"Cronogr. 2"}</definedName>
    <definedName name="descobrir" localSheetId="5" hidden="1">{#N/A,#N/A,FALSE,"Cronograma";#N/A,#N/A,FALSE,"Cronogr. 2"}</definedName>
    <definedName name="descobrir" hidden="1">{#N/A,#N/A,FALSE,"Cronograma";#N/A,#N/A,FALSE,"Cronogr. 2"}</definedName>
    <definedName name="descobrir1" localSheetId="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localSheetId="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1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descobrir2" localSheetId="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localSheetId="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2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descobrir3" localSheetId="3" hidden="1">{#N/A,#N/A,FALSE,"Cronograma";#N/A,#N/A,FALSE,"Cronogr. 2"}</definedName>
    <definedName name="descobrir3" localSheetId="5" hidden="1">{#N/A,#N/A,FALSE,"Cronograma";#N/A,#N/A,FALSE,"Cronogr. 2"}</definedName>
    <definedName name="descobrir3" hidden="1">{#N/A,#N/A,FALSE,"Cronograma";#N/A,#N/A,FALSE,"Cronogr. 2"}</definedName>
    <definedName name="descobrir4" localSheetId="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localSheetId="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brir4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DESCOR" localSheetId="3" hidden="1">{"'gráf jan00'!$A$1:$AK$41"}</definedName>
    <definedName name="DESCOR" localSheetId="5" hidden="1">{"'gráf jan00'!$A$1:$AK$41"}</definedName>
    <definedName name="DESCOR" hidden="1">{"'gráf jan00'!$A$1:$AK$41"}</definedName>
    <definedName name="Descricao">#REF!</definedName>
    <definedName name="DESCRIÇÃ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são" localSheetId="3" hidden="1">{"'gráf jan00'!$A$1:$AK$41"}</definedName>
    <definedName name="descrisão" localSheetId="5" hidden="1">{"'gráf jan00'!$A$1:$AK$41"}</definedName>
    <definedName name="descrisão" hidden="1">{"'gráf jan00'!$A$1:$AK$41"}</definedName>
    <definedName name="DESCRITIVO1">#REF!</definedName>
    <definedName name="DESFPORC">#N/A</definedName>
    <definedName name="desig">#REF!</definedName>
    <definedName name="DeslocamentoJanela">#REF!</definedName>
    <definedName name="desniv" localSheetId="3" hidden="1">{#N/A,#N/A,FALSE,"RESUMO-BB1";#N/A,#N/A,FALSE,"MOD-A01-R - BB1";#N/A,#N/A,FALSE,"URB-BB1"}</definedName>
    <definedName name="desniv" localSheetId="5" hidden="1">{#N/A,#N/A,FALSE,"RESUMO-BB1";#N/A,#N/A,FALSE,"MOD-A01-R - BB1";#N/A,#N/A,FALSE,"URB-BB1"}</definedName>
    <definedName name="desniv" hidden="1">{#N/A,#N/A,FALSE,"RESUMO-BB1";#N/A,#N/A,FALSE,"MOD-A01-R - BB1";#N/A,#N/A,FALSE,"URB-BB1"}</definedName>
    <definedName name="DESNIVEL" localSheetId="3" hidden="1">{#N/A,#N/A,FALSE,"RESUMO-BB1";#N/A,#N/A,FALSE,"MOD-A01-R - BB1";#N/A,#N/A,FALSE,"URB-BB1"}</definedName>
    <definedName name="DESNIVEL" localSheetId="5" hidden="1">{#N/A,#N/A,FALSE,"RESUMO-BB1";#N/A,#N/A,FALSE,"MOD-A01-R - BB1";#N/A,#N/A,FALSE,"URB-BB1"}</definedName>
    <definedName name="DESNIVEL" hidden="1">{#N/A,#N/A,FALSE,"RESUMO-BB1";#N/A,#N/A,FALSE,"MOD-A01-R - BB1";#N/A,#N/A,FALSE,"URB-BB1"}</definedName>
    <definedName name="Desp._Complementares">#REF!</definedName>
    <definedName name="Despesas_Complementares">#N/A</definedName>
    <definedName name="DESPGER">#REF!</definedName>
    <definedName name="DESPGER___0">#REF!</definedName>
    <definedName name="Desvio_Físico">#REF!</definedName>
    <definedName name="Desvio_valor">#REF!</definedName>
    <definedName name="Detalhe" localSheetId="3" hidden="1">{"'Resumo'!$A$4:$N$60"}</definedName>
    <definedName name="Detalhe" localSheetId="5" hidden="1">{"'Resumo'!$A$4:$N$60"}</definedName>
    <definedName name="Detalhe" hidden="1">{"'Resumo'!$A$4:$N$60"}</definedName>
    <definedName name="DETCOUNT">#REF!</definedName>
    <definedName name="DETSETUP">#REF!</definedName>
    <definedName name="DETSETUP2">#REF!</definedName>
    <definedName name="DETSETUP3">#REF!</definedName>
    <definedName name="DETSETUP4">#REF!</definedName>
    <definedName name="DEVOLVER" localSheetId="3" hidden="1">{#N/A,#N/A,FALSE,"CPV";#N/A,#N/A,FALSE,"Pareto";#N/A,#N/A,FALSE,"Gráficos"}</definedName>
    <definedName name="DEVOLVER" localSheetId="5" hidden="1">{#N/A,#N/A,FALSE,"CPV";#N/A,#N/A,FALSE,"Pareto";#N/A,#N/A,FALSE,"Gráficos"}</definedName>
    <definedName name="DEVOLVER" hidden="1">{#N/A,#N/A,FALSE,"CPV";#N/A,#N/A,FALSE,"Pareto";#N/A,#N/A,FALSE,"Gráficos"}</definedName>
    <definedName name="DEWD" localSheetId="3" hidden="1">{"'REL CUSTODIF'!$B$1:$H$72"}</definedName>
    <definedName name="DEWD" localSheetId="5" hidden="1">{"'REL CUSTODIF'!$B$1:$H$72"}</definedName>
    <definedName name="DEWD" hidden="1">{"'REL CUSTODIF'!$B$1:$H$72"}</definedName>
    <definedName name="Dez" localSheetId="3">'Time line '!DaysAndWeeks+DATE([0]!CalendárioYear,12,1)-WEEKDAY(DATE([0]!CalendárioYear,12,1),'Time line '!OpçãodeDiadaSemana)+1</definedName>
    <definedName name="Dez" localSheetId="5">'Time line  (2)'!DaysAndWeeks+DATE([0]!CalendárioYear,12,1)-WEEKDAY(DATE([0]!CalendárioYear,12,1),'Time line  (2)'!OpçãodeDiadaSemana)+1</definedName>
    <definedName name="Dez">DaysAndWeeks+DATE(CalendárioYear,12,1)-WEEKDAY(DATE(CalendárioYear,12,1),OpçãodeDiadaSemana)+1</definedName>
    <definedName name="DFADFD" localSheetId="3" hidden="1">{"'REL CUSTODIF'!$B$1:$H$72"}</definedName>
    <definedName name="DFADFD" localSheetId="5" hidden="1">{"'REL CUSTODIF'!$B$1:$H$72"}</definedName>
    <definedName name="DFADFD" hidden="1">{"'REL CUSTODIF'!$B$1:$H$72"}</definedName>
    <definedName name="dfadsfsadf" localSheetId="3" hidden="1">{"'gráf jan00'!$A$1:$AK$41"}</definedName>
    <definedName name="dfadsfsadf" localSheetId="5" hidden="1">{"'gráf jan00'!$A$1:$AK$41"}</definedName>
    <definedName name="dfadsfsadf" hidden="1">{"'gráf jan00'!$A$1:$AK$41"}</definedName>
    <definedName name="dfawef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awef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" localSheetId="3" hidden="1">{"'gráf jan00'!$A$1:$AK$41"}</definedName>
    <definedName name="dfd" localSheetId="5" hidden="1">{"'gráf jan00'!$A$1:$AK$41"}</definedName>
    <definedName name="dfd" hidden="1">{"'gráf jan00'!$A$1:$AK$41"}</definedName>
    <definedName name="dfdafdsf" localSheetId="3" hidden="1">{"'REL CUSTODIF'!$B$1:$H$72"}</definedName>
    <definedName name="dfdafdsf" localSheetId="5" hidden="1">{"'REL CUSTODIF'!$B$1:$H$72"}</definedName>
    <definedName name="dfdafdsf" hidden="1">{"'REL CUSTODIF'!$B$1:$H$72"}</definedName>
    <definedName name="dfde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e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df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dfdfa" localSheetId="3" hidden="1">{"'REL CUSTODIF'!$B$1:$H$72"}</definedName>
    <definedName name="dfdfa" localSheetId="5" hidden="1">{"'REL CUSTODIF'!$B$1:$H$72"}</definedName>
    <definedName name="dfdfa" hidden="1">{"'REL CUSTODIF'!$B$1:$H$72"}</definedName>
    <definedName name="DFDFDF" localSheetId="3" hidden="1">{"'gráf jan00'!$A$1:$AK$41"}</definedName>
    <definedName name="DFDFDF" localSheetId="5" hidden="1">{"'gráf jan00'!$A$1:$AK$41"}</definedName>
    <definedName name="DFDFDF" hidden="1">{"'gráf jan00'!$A$1:$AK$41"}</definedName>
    <definedName name="DFEDFE" localSheetId="3" hidden="1">{"'REL CUSTODIF'!$B$1:$H$72"}</definedName>
    <definedName name="DFEDFE" localSheetId="5" hidden="1">{"'REL CUSTODIF'!$B$1:$H$72"}</definedName>
    <definedName name="DFEDFE" hidden="1">{"'REL CUSTODIF'!$B$1:$H$72"}</definedName>
    <definedName name="DFEFE" localSheetId="3" hidden="1">{"'REL CUSTODIF'!$B$1:$H$72"}</definedName>
    <definedName name="DFEFE" localSheetId="5" hidden="1">{"'REL CUSTODIF'!$B$1:$H$72"}</definedName>
    <definedName name="DFEFE" hidden="1">{"'REL CUSTODIF'!$B$1:$H$72"}</definedName>
    <definedName name="DFefEFGREQ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fEFGREQ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ferf" localSheetId="3" hidden="1">{"'REL CUSTODIF'!$B$1:$H$72"}</definedName>
    <definedName name="dferf" localSheetId="5" hidden="1">{"'REL CUSTODIF'!$B$1:$H$72"}</definedName>
    <definedName name="dferf" hidden="1">{"'REL CUSTODIF'!$B$1:$H$72"}</definedName>
    <definedName name="dferfewf" localSheetId="3" hidden="1">{"'REL CUSTODIF'!$B$1:$H$72"}</definedName>
    <definedName name="dferfewf" localSheetId="5" hidden="1">{"'REL CUSTODIF'!$B$1:$H$72"}</definedName>
    <definedName name="dferfewf" hidden="1">{"'REL CUSTODIF'!$B$1:$H$72"}</definedName>
    <definedName name="DFEWFEW" localSheetId="3" hidden="1">{"'REL CUSTODIF'!$B$1:$H$72"}</definedName>
    <definedName name="DFEWFEW" localSheetId="5" hidden="1">{"'REL CUSTODIF'!$B$1:$H$72"}</definedName>
    <definedName name="DFEWFEW" hidden="1">{"'REL CUSTODIF'!$B$1:$H$72"}</definedName>
    <definedName name="dffasf" localSheetId="3" hidden="1">{#N/A,#N/A,TRUE,"indice";#N/A,#N/A,TRUE,"indicadores";#N/A,#N/A,TRUE,"comentarios"}</definedName>
    <definedName name="dffasf" localSheetId="5" hidden="1">{#N/A,#N/A,TRUE,"indice";#N/A,#N/A,TRUE,"indicadores";#N/A,#N/A,TRUE,"comentarios"}</definedName>
    <definedName name="dffasf" hidden="1">{#N/A,#N/A,TRUE,"indice";#N/A,#N/A,TRUE,"indicadores";#N/A,#N/A,TRUE,"comentarios"}</definedName>
    <definedName name="DFGADET" localSheetId="3" hidden="1">{"'gráf jan00'!$A$1:$AK$41"}</definedName>
    <definedName name="DFGADET" localSheetId="5" hidden="1">{"'gráf jan00'!$A$1:$AK$41"}</definedName>
    <definedName name="DFGADET" hidden="1">{"'gráf jan00'!$A$1:$AK$41"}</definedName>
    <definedName name="DFGDFGD" localSheetId="3" hidden="1">{"'Quadro'!$A$4:$BG$78"}</definedName>
    <definedName name="DFGDFGD" localSheetId="5" hidden="1">{"'Quadro'!$A$4:$BG$78"}</definedName>
    <definedName name="DFGDFGD" hidden="1">{"'Quadro'!$A$4:$BG$78"}</definedName>
    <definedName name="dfhas">#REF!</definedName>
    <definedName name="DFHDFHXZDH">#REF!</definedName>
    <definedName name="dfhgdf" localSheetId="3" hidden="1">{#N/A,#N/A,TRUE,"indice";#N/A,#N/A,TRUE,"indicadores";#N/A,#N/A,TRUE,"comentarios"}</definedName>
    <definedName name="dfhgdf" localSheetId="5" hidden="1">{#N/A,#N/A,TRUE,"indice";#N/A,#N/A,TRUE,"indicadores";#N/A,#N/A,TRUE,"comentarios"}</definedName>
    <definedName name="dfhgdf" hidden="1">{#N/A,#N/A,TRUE,"indice";#N/A,#N/A,TRUE,"indicadores";#N/A,#N/A,TRUE,"comentarios"}</definedName>
    <definedName name="dfqefefqef" localSheetId="3" hidden="1">{"'REL CUSTODIF'!$B$1:$H$72"}</definedName>
    <definedName name="dfqefefqef" localSheetId="5" hidden="1">{"'REL CUSTODIF'!$B$1:$H$72"}</definedName>
    <definedName name="dfqefefqef" hidden="1">{"'REL CUSTODIF'!$B$1:$H$72"}</definedName>
    <definedName name="DFQEFEWFE" localSheetId="3" hidden="1">{"'REL CUSTODIF'!$B$1:$H$72"}</definedName>
    <definedName name="DFQEFEWFE" localSheetId="5" hidden="1">{"'REL CUSTODIF'!$B$1:$H$72"}</definedName>
    <definedName name="DFQEFEWFE" hidden="1">{"'REL CUSTODIF'!$B$1:$H$72"}</definedName>
    <definedName name="DFQFEWF" localSheetId="3" hidden="1">{"'REL CUSTODIF'!$B$1:$H$72"}</definedName>
    <definedName name="DFQFEWF" localSheetId="5" hidden="1">{"'REL CUSTODIF'!$B$1:$H$72"}</definedName>
    <definedName name="DFQFEWF" hidden="1">{"'REL CUSTODIF'!$B$1:$H$72"}</definedName>
    <definedName name="DFS" localSheetId="3" hidden="1">{"'REL CUSTODIF'!$B$1:$H$72"}</definedName>
    <definedName name="DFS" localSheetId="5" hidden="1">{"'REL CUSTODIF'!$B$1:$H$72"}</definedName>
    <definedName name="DFS" hidden="1">{"'REL CUSTODIF'!$B$1:$H$72"}</definedName>
    <definedName name="dfuil" localSheetId="3" hidden="1">{"'RR'!$A$2:$E$81"}</definedName>
    <definedName name="dfuil" localSheetId="5" hidden="1">{"'RR'!$A$2:$E$81"}</definedName>
    <definedName name="dfuil" hidden="1">{"'RR'!$A$2:$E$81"}</definedName>
    <definedName name="DGFAERFE" localSheetId="3" hidden="1">{"'REL CUSTODIF'!$B$1:$H$72"}</definedName>
    <definedName name="DGFAERFE" localSheetId="5" hidden="1">{"'REL CUSTODIF'!$B$1:$H$72"}</definedName>
    <definedName name="DGFAERFE" hidden="1">{"'REL CUSTODIF'!$B$1:$H$72"}</definedName>
    <definedName name="Di">#REF!</definedName>
    <definedName name="DiaCorrente">#REF!</definedName>
    <definedName name="DIALOG1">#REF!</definedName>
    <definedName name="DIAS">#REF!</definedName>
    <definedName name="dias_mes">#REF!</definedName>
    <definedName name="DiasJanela">#REF!</definedName>
    <definedName name="DiasMes">#REF!</definedName>
    <definedName name="DiasÚteis" localSheetId="3">{"segunda-feira","terça-feira","quarta-feira","quinta-feira","sexta-feira","sábado","domingo"}</definedName>
    <definedName name="DiasÚteis" localSheetId="5">{"segunda-feira","terça-feira","quarta-feira","quinta-feira","sexta-feira","sábado","domingo"}</definedName>
    <definedName name="DiasÚteis">{"segunda-feira","terça-feira","quarta-feira","quinta-feira","sexta-feira","sábado","domingo"}</definedName>
    <definedName name="DIFHH">#N/A</definedName>
    <definedName name="DIFMOB">#N/A</definedName>
    <definedName name="DIFMOB1">#N/A</definedName>
    <definedName name="DIFMOB2">#N/A</definedName>
    <definedName name="DILO_Ferrovia" localSheetId="3" hidden="1">{"'Quadro'!$A$4:$BG$78"}</definedName>
    <definedName name="DILO_Ferrovia" localSheetId="5" hidden="1">{"'Quadro'!$A$4:$BG$78"}</definedName>
    <definedName name="DILO_Ferrovia" hidden="1">{"'Quadro'!$A$4:$BG$78"}</definedName>
    <definedName name="DIMENSIONAMENTO_DE_TUBULAÇÃO">#REF!</definedName>
    <definedName name="DIRIND">#N/A</definedName>
    <definedName name="disp1" localSheetId="3" hidden="1">{"'RR'!$A$2:$E$81"}</definedName>
    <definedName name="disp1" localSheetId="5" hidden="1">{"'RR'!$A$2:$E$81"}</definedName>
    <definedName name="disp1" hidden="1">{"'RR'!$A$2:$E$81"}</definedName>
    <definedName name="Displocopaul1" localSheetId="3" hidden="1">{"'gráf jan00'!$A$1:$AK$41"}</definedName>
    <definedName name="Displocopaul1" localSheetId="5" hidden="1">{"'gráf jan00'!$A$1:$AK$41"}</definedName>
    <definedName name="Displocopaul1" hidden="1">{"'gráf jan00'!$A$1:$AK$41"}</definedName>
    <definedName name="DISPONIBILIDADE">OFFSET(#REF!,0,0,COUNTA(#REF!)-1,1)</definedName>
    <definedName name="disppaul" localSheetId="3" hidden="1">{"'gráf jan00'!$A$1:$AK$41"}</definedName>
    <definedName name="disppaul" localSheetId="5" hidden="1">{"'gráf jan00'!$A$1:$AK$41"}</definedName>
    <definedName name="disppaul" hidden="1">{"'gráf jan00'!$A$1:$AK$41"}</definedName>
    <definedName name="Disppaul1" localSheetId="3" hidden="1">{"'gráf jan00'!$A$1:$AK$41"}</definedName>
    <definedName name="Disppaul1" localSheetId="5" hidden="1">{"'gráf jan00'!$A$1:$AK$41"}</definedName>
    <definedName name="Disppaul1" hidden="1">{"'gráf jan00'!$A$1:$AK$41"}</definedName>
    <definedName name="disppaul10" localSheetId="3" hidden="1">{"'gráf jan00'!$A$1:$AK$41"}</definedName>
    <definedName name="disppaul10" localSheetId="5" hidden="1">{"'gráf jan00'!$A$1:$AK$41"}</definedName>
    <definedName name="disppaul10" hidden="1">{"'gráf jan00'!$A$1:$AK$41"}</definedName>
    <definedName name="disppaul100" localSheetId="3" hidden="1">{"'gráf jan00'!$A$1:$AK$41"}</definedName>
    <definedName name="disppaul100" localSheetId="5" hidden="1">{"'gráf jan00'!$A$1:$AK$41"}</definedName>
    <definedName name="disppaul100" hidden="1">{"'gráf jan00'!$A$1:$AK$41"}</definedName>
    <definedName name="disppaul11" localSheetId="3" hidden="1">{"'Quadro'!$A$4:$BG$78"}</definedName>
    <definedName name="disppaul11" localSheetId="5" hidden="1">{"'Quadro'!$A$4:$BG$78"}</definedName>
    <definedName name="disppaul11" hidden="1">{"'Quadro'!$A$4:$BG$78"}</definedName>
    <definedName name="disppaul12" localSheetId="3" hidden="1">{"'gráf jan00'!$A$1:$AK$41"}</definedName>
    <definedName name="disppaul12" localSheetId="5" hidden="1">{"'gráf jan00'!$A$1:$AK$41"}</definedName>
    <definedName name="disppaul12" hidden="1">{"'gráf jan00'!$A$1:$AK$41"}</definedName>
    <definedName name="disppaul13" localSheetId="3" hidden="1">{"'gráf jan00'!$A$1:$AK$41"}</definedName>
    <definedName name="disppaul13" localSheetId="5" hidden="1">{"'gráf jan00'!$A$1:$AK$41"}</definedName>
    <definedName name="disppaul13" hidden="1">{"'gráf jan00'!$A$1:$AK$41"}</definedName>
    <definedName name="disppaul14" localSheetId="3" hidden="1">{"'gráf jan00'!$A$1:$AK$41"}</definedName>
    <definedName name="disppaul14" localSheetId="5" hidden="1">{"'gráf jan00'!$A$1:$AK$41"}</definedName>
    <definedName name="disppaul14" hidden="1">{"'gráf jan00'!$A$1:$AK$41"}</definedName>
    <definedName name="disppaul15" localSheetId="3" hidden="1">{"'gráf jan00'!$A$1:$AK$41"}</definedName>
    <definedName name="disppaul15" localSheetId="5" hidden="1">{"'gráf jan00'!$A$1:$AK$41"}</definedName>
    <definedName name="disppaul15" hidden="1">{"'gráf jan00'!$A$1:$AK$41"}</definedName>
    <definedName name="disppaul2" localSheetId="3" hidden="1">{"'gráf jan00'!$A$1:$AK$41"}</definedName>
    <definedName name="disppaul2" localSheetId="5" hidden="1">{"'gráf jan00'!$A$1:$AK$41"}</definedName>
    <definedName name="disppaul2" hidden="1">{"'gráf jan00'!$A$1:$AK$41"}</definedName>
    <definedName name="disppaul4" localSheetId="3" hidden="1">{"'gráf jan00'!$A$1:$AK$41"}</definedName>
    <definedName name="disppaul4" localSheetId="5" hidden="1">{"'gráf jan00'!$A$1:$AK$41"}</definedName>
    <definedName name="disppaul4" hidden="1">{"'gráf jan00'!$A$1:$AK$41"}</definedName>
    <definedName name="DispTelGASAG" localSheetId="3" hidden="1">{"'teste'!$B$2:$R$49"}</definedName>
    <definedName name="DispTelGASAG" localSheetId="5" hidden="1">{"'teste'!$B$2:$R$49"}</definedName>
    <definedName name="DispTelGASAG" hidden="1">{"'teste'!$B$2:$R$49"}</definedName>
    <definedName name="DISS">#REF!</definedName>
    <definedName name="ditf" localSheetId="3" hidden="1">{"'CptDifn'!$AA$32:$AG$32"}</definedName>
    <definedName name="ditf" localSheetId="5" hidden="1">{"'CptDifn'!$AA$32:$AG$32"}</definedName>
    <definedName name="ditf" hidden="1">{"'CptDifn'!$AA$32:$AG$32"}</definedName>
    <definedName name="dksojd" localSheetId="3" hidden="1">{#N/A,#N/A,FALSE,"PCOL"}</definedName>
    <definedName name="dksojd" localSheetId="5" hidden="1">{#N/A,#N/A,FALSE,"PCOL"}</definedName>
    <definedName name="dksojd" hidden="1">{#N/A,#N/A,FALSE,"PCOL"}</definedName>
    <definedName name="DM">#REF!</definedName>
    <definedName name="Dn">#REF!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">#REF!</definedName>
    <definedName name="DOCAS">#REF!</definedName>
    <definedName name="DOCUMENTOS">#REF!</definedName>
    <definedName name="DOI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IST">#REF!</definedName>
    <definedName name="DOLAR">#REF!</definedName>
    <definedName name="Dólar">#REF!</definedName>
    <definedName name="Dólar1">#REF!</definedName>
    <definedName name="Drafting_India_Sell">#REF!</definedName>
    <definedName name="drain">#REF!</definedName>
    <definedName name="DRE">#REF!</definedName>
    <definedName name="DREMA">#REF!</definedName>
    <definedName name="DRENAGE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RENAGEM_1">#REF!</definedName>
    <definedName name="DRENAGEM_1_2">#REF!</definedName>
    <definedName name="DRENAGEM_1_3">#REF!</definedName>
    <definedName name="DRENAGEM_2">#REF!</definedName>
    <definedName name="DRENAGEM_3">#REF!</definedName>
    <definedName name="DRENAGEM_4">#REF!</definedName>
    <definedName name="ds">#REF!</definedName>
    <definedName name="DSAD" localSheetId="3" hidden="1">{"'REL CUSTODIF'!$B$1:$H$72"}</definedName>
    <definedName name="DSAD" localSheetId="5" hidden="1">{"'REL CUSTODIF'!$B$1:$H$72"}</definedName>
    <definedName name="DSAD" hidden="1">{"'REL CUSTODIF'!$B$1:$H$72"}</definedName>
    <definedName name="dsadswd" localSheetId="3" hidden="1">{"'REL CUSTODIF'!$B$1:$H$72"}</definedName>
    <definedName name="dsadswd" localSheetId="5" hidden="1">{"'REL CUSTODIF'!$B$1:$H$72"}</definedName>
    <definedName name="dsadswd" hidden="1">{"'REL CUSTODIF'!$B$1:$H$72"}</definedName>
    <definedName name="dsda" localSheetId="3" hidden="1">{#N/A,#N/A,TRUE,"indice";#N/A,#N/A,TRUE,"indicadores";#N/A,#N/A,TRUE,"comentarios"}</definedName>
    <definedName name="dsda" localSheetId="5" hidden="1">{#N/A,#N/A,TRUE,"indice";#N/A,#N/A,TRUE,"indicadores";#N/A,#N/A,TRUE,"comentarios"}</definedName>
    <definedName name="dsda" hidden="1">{#N/A,#N/A,TRUE,"indice";#N/A,#N/A,TRUE,"indicadores";#N/A,#N/A,TRUE,"comentarios"}</definedName>
    <definedName name="dsfad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SDFDasf" localSheetId="3" hidden="1">{"'REL CUSTODIF'!$B$1:$H$72"}</definedName>
    <definedName name="DSFASDFDasf" localSheetId="5" hidden="1">{"'REL CUSTODIF'!$B$1:$H$72"}</definedName>
    <definedName name="DSFASDFDasf" hidden="1">{"'REL CUSTODIF'!$B$1:$H$72"}</definedName>
    <definedName name="dsfed" localSheetId="3" hidden="1">{"'REL CUSTODIF'!$B$1:$H$72"}</definedName>
    <definedName name="dsfed" localSheetId="5" hidden="1">{"'REL CUSTODIF'!$B$1:$H$72"}</definedName>
    <definedName name="dsfed" hidden="1">{"'REL CUSTODIF'!$B$1:$H$72"}</definedName>
    <definedName name="dsf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gsd" hidden="1">{#N/A,#N/A,FALSE,"Cronograma";#N/A,#N/A,FALSE,"Cronogr. 2"}</definedName>
    <definedName name="dsipaul" localSheetId="3" hidden="1">{"'gráf jan00'!$A$1:$AK$41"}</definedName>
    <definedName name="dsipaul" localSheetId="5" hidden="1">{"'gráf jan00'!$A$1:$AK$41"}</definedName>
    <definedName name="dsipaul" hidden="1">{"'gráf jan00'!$A$1:$AK$41"}</definedName>
    <definedName name="DSR">#REF!</definedName>
    <definedName name="dssssss" localSheetId="3" hidden="1">{"'gráf jan00'!$A$1:$AK$41"}</definedName>
    <definedName name="dssssss" localSheetId="5" hidden="1">{"'gráf jan00'!$A$1:$AK$41"}</definedName>
    <definedName name="dssssss" hidden="1">{"'gráf jan00'!$A$1:$AK$41"}</definedName>
    <definedName name="DSTATG">#REF!</definedName>
    <definedName name="DSUM">#N/A</definedName>
    <definedName name="DTUBOS">#REF!</definedName>
    <definedName name="ducfa">#REF!</definedName>
    <definedName name="Durva">#REF!</definedName>
    <definedName name="DV" localSheetId="3" hidden="1">{"'Quadro'!$A$4:$BG$78"}</definedName>
    <definedName name="DV" localSheetId="5" hidden="1">{"'Quadro'!$A$4:$BG$78"}</definedName>
    <definedName name="DV" hidden="1">{"'Quadro'!$A$4:$BG$78"}</definedName>
    <definedName name="DVASDV" localSheetId="3" hidden="1">{"'REL CUSTODIF'!$B$1:$H$72"}</definedName>
    <definedName name="DVASDV" localSheetId="5" hidden="1">{"'REL CUSTODIF'!$B$1:$H$72"}</definedName>
    <definedName name="DVASDV" hidden="1">{"'REL CUSTODIF'!$B$1:$H$72"}</definedName>
    <definedName name="DVGFAZD" localSheetId="3" hidden="1">{"'REL CUSTODIF'!$B$1:$H$72"}</definedName>
    <definedName name="DVGFAZD" localSheetId="5" hidden="1">{"'REL CUSTODIF'!$B$1:$H$72"}</definedName>
    <definedName name="DVGFAZD" hidden="1">{"'REL CUSTODIF'!$B$1:$H$72"}</definedName>
    <definedName name="dvmdknvknd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vmdknvknd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wd" localSheetId="3" hidden="1">{"'Quadro'!$A$4:$BG$78"}</definedName>
    <definedName name="dwd" localSheetId="5" hidden="1">{"'Quadro'!$A$4:$BG$78"}</definedName>
    <definedName name="dwd" hidden="1">{"'Quadro'!$A$4:$BG$78"}</definedName>
    <definedName name="dwsdad" localSheetId="3" hidden="1">{"'ReceitaLiquidaME'!$AA$25:$AN$32"}</definedName>
    <definedName name="dwsdad" localSheetId="5" hidden="1">{"'ReceitaLiquidaME'!$AA$25:$AN$32"}</definedName>
    <definedName name="dwsdad" hidden="1">{"'ReceitaLiquidaME'!$AA$25:$AN$32"}</definedName>
    <definedName name="dxdxdx" localSheetId="3" hidden="1">{"'RR'!$A$2:$E$81"}</definedName>
    <definedName name="dxdxdx" localSheetId="5" hidden="1">{"'RR'!$A$2:$E$81"}</definedName>
    <definedName name="dxdxdx" hidden="1">{"'RR'!$A$2:$E$81"}</definedName>
    <definedName name="E" localSheetId="3">#REF!</definedName>
    <definedName name="E" localSheetId="5">#REF!</definedName>
    <definedName name="e" hidden="1">{#N/A,#N/A,FALSE,"Cronograma";#N/A,#N/A,FALSE,"Cronogr. 2"}</definedName>
    <definedName name="e__cm">#REF!</definedName>
    <definedName name="e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AP">#REF!</definedName>
    <definedName name="EAP_Ativ">#REF!</definedName>
    <definedName name="EAP_Atividade">#REF!</definedName>
    <definedName name="EAP_AvançoAcumulado">#REF!</definedName>
    <definedName name="EAP_AvanÇoSemanal">#REF!</definedName>
    <definedName name="EAP_Cronograma">#REF!</definedName>
    <definedName name="EAP_Desvio">#REF!</definedName>
    <definedName name="EAP_Desvio1">#REF!</definedName>
    <definedName name="EAP_Responsabilidade">#REF!</definedName>
    <definedName name="EAP_Responsabilidade1">#REF!</definedName>
    <definedName name="EAP_Semana">#REF!</definedName>
    <definedName name="EAP_Semana1">#REF!</definedName>
    <definedName name="EAP_SemanaReal">#REF!</definedName>
    <definedName name="EAP_TabelaDesvio">#REF!</definedName>
    <definedName name="e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CONÔMICO">#REF!</definedName>
    <definedName name="ECRNAT">#REF!</definedName>
    <definedName name="ECVCFELE">#REF!</definedName>
    <definedName name="ECVCFMEC">#REF!</definedName>
    <definedName name="EDFREWRF" localSheetId="3" hidden="1">{"'REL CUSTODIF'!$B$1:$H$72"}</definedName>
    <definedName name="EDFREWRF" localSheetId="5" hidden="1">{"'REL CUSTODIF'!$B$1:$H$72"}</definedName>
    <definedName name="EDFREWRF" hidden="1">{"'REL CUSTODIF'!$B$1:$H$72"}</definedName>
    <definedName name="edital">#REF!</definedName>
    <definedName name="EE">#REF!</definedName>
    <definedName name="EEE" localSheetId="3" hidden="1">{"'gráf jan00'!$A$1:$AK$41"}</definedName>
    <definedName name="EEE" localSheetId="5" hidden="1">{"'gráf jan00'!$A$1:$AK$41"}</definedName>
    <definedName name="EEE" hidden="1">{"'gráf jan00'!$A$1:$AK$41"}</definedName>
    <definedName name="eesdd" localSheetId="3" hidden="1">{#N/A,#N/A,TRUE,"indice";#N/A,#N/A,TRUE,"indicadores";#N/A,#N/A,TRUE,"comentarios"}</definedName>
    <definedName name="eesdd" localSheetId="5" hidden="1">{#N/A,#N/A,TRUE,"indice";#N/A,#N/A,TRUE,"indicadores";#N/A,#N/A,TRUE,"comentarios"}</definedName>
    <definedName name="eesdd" hidden="1">{#N/A,#N/A,TRUE,"indice";#N/A,#N/A,TRUE,"indicadores";#N/A,#N/A,TRUE,"comentarios"}</definedName>
    <definedName name="EFATRL">#REF!</definedName>
    <definedName name="EFATURA">#REF!</definedName>
    <definedName name="EFC" localSheetId="3" hidden="1">{"'RR'!$A$2:$E$81"}</definedName>
    <definedName name="EFC" localSheetId="5" hidden="1">{"'RR'!$A$2:$E$81"}</definedName>
    <definedName name="EFC" hidden="1">{"'RR'!$A$2:$E$81"}</definedName>
    <definedName name="EFCEletron" localSheetId="3" hidden="1">{"'RR'!$A$2:$E$81"}</definedName>
    <definedName name="EFCEletron" localSheetId="5" hidden="1">{"'RR'!$A$2:$E$81"}</definedName>
    <definedName name="EFCEletron" hidden="1">{"'RR'!$A$2:$E$81"}</definedName>
    <definedName name="EFEQF" localSheetId="3" hidden="1">{"'REL CUSTODIF'!$B$1:$H$72"}</definedName>
    <definedName name="EFEQF" localSheetId="5" hidden="1">{"'REL CUSTODIF'!$B$1:$H$72"}</definedName>
    <definedName name="EFEQF" hidden="1">{"'REL CUSTODIF'!$B$1:$H$72"}</definedName>
    <definedName name="EFETIVO" localSheetId="3">#REF!</definedName>
    <definedName name="EFETIVO" localSheetId="5">#REF!</definedName>
    <definedName name="EFETIVO">#REF!</definedName>
    <definedName name="EFETOT">#REF!</definedName>
    <definedName name="EFETOTMES">#N/A</definedName>
    <definedName name="EF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FILE_PRINT">#REF!</definedName>
    <definedName name="EFVM" localSheetId="3" hidden="1">{"'RR'!$A$2:$E$81"}</definedName>
    <definedName name="EFVM" localSheetId="5" hidden="1">{"'RR'!$A$2:$E$81"}</definedName>
    <definedName name="EFVM" hidden="1">{"'RR'!$A$2:$E$81"}</definedName>
    <definedName name="EFVM2" localSheetId="3" hidden="1">{"'RR'!$A$2:$E$81"}</definedName>
    <definedName name="EFVM2" localSheetId="5" hidden="1">{"'RR'!$A$2:$E$81"}</definedName>
    <definedName name="EFVM2" hidden="1">{"'RR'!$A$2:$E$81"}</definedName>
    <definedName name="EFVM3" localSheetId="3" hidden="1">{"'RR'!$A$2:$E$81"}</definedName>
    <definedName name="EFVM3" localSheetId="5" hidden="1">{"'RR'!$A$2:$E$81"}</definedName>
    <definedName name="EFVM3" hidden="1">{"'RR'!$A$2:$E$81"}</definedName>
    <definedName name="eGasAacu">#REF!</definedName>
    <definedName name="eGasAacuUS">#REF!</definedName>
    <definedName name="eGasAcu">#REF!</definedName>
    <definedName name="eGasAcuUS">#REF!</definedName>
    <definedName name="eGasmes">#REF!</definedName>
    <definedName name="eGasmesus">#REF!</definedName>
    <definedName name="Eh">#REF!</definedName>
    <definedName name="eighteight">#REF!</definedName>
    <definedName name="eightfive">#REF!</definedName>
    <definedName name="eightfour">#REF!</definedName>
    <definedName name="eightnine">#REF!</definedName>
    <definedName name="eightone">#REF!</definedName>
    <definedName name="EJI" localSheetId="3" hidden="1">{"'Quadro'!$A$4:$BG$78"}</definedName>
    <definedName name="EJI" localSheetId="5" hidden="1">{"'Quadro'!$A$4:$BG$78"}</definedName>
    <definedName name="EJI" hidden="1">{"'Quadro'!$A$4:$BG$78"}</definedName>
    <definedName name="elect">#REF!</definedName>
    <definedName name="Elton" localSheetId="3" hidden="1">{"'RR'!$A$2:$E$81"}</definedName>
    <definedName name="Elton" localSheetId="5" hidden="1">{"'RR'!$A$2:$E$81"}</definedName>
    <definedName name="Elton" hidden="1">{"'RR'!$A$2:$E$81"}</definedName>
    <definedName name="Emp_Conta">#REF!</definedName>
    <definedName name="Emp_Conta_Dtl">#REF!</definedName>
    <definedName name="Emp_Lin">#REF!</definedName>
    <definedName name="Emp_Lin_CCT">#REF!</definedName>
    <definedName name="Emp_Lin_CCT_Cta_Dtl">#REF!</definedName>
    <definedName name="Emp_Lin_Prod">#REF!</definedName>
    <definedName name="Emp_Lin_Prod_Conta">#REF!</definedName>
    <definedName name="employee">#REF!</definedName>
    <definedName name="encarg_hor">#REF!</definedName>
    <definedName name="encarg_mensal">#REF!</definedName>
    <definedName name="Encargos">#REF!</definedName>
    <definedName name="EncargosAdmLocal">#REF!</definedName>
    <definedName name="EncargosHExtra">#REF!</definedName>
    <definedName name="ENCHOR">#N/A</definedName>
    <definedName name="ENCMEN">#N/A</definedName>
    <definedName name="ENCSOC">#REF!</definedName>
    <definedName name="ENCSOCENG">#REF!</definedName>
    <definedName name="ENDBATCH">#REF!</definedName>
    <definedName name="Energia" localSheetId="3" hidden="1">{#N/A,#N/A,FALSE,"Suprimentos";#N/A,#N/A,FALSE,"Medicina e Segurança";#N/A,#N/A,FALSE,"Administração";#N/A,#N/A,FALSE,"Meio Ambiente";#N/A,#N/A,FALSE,"Operação (Mina)";#N/A,#N/A,FALSE,"Operação (Porto)"}</definedName>
    <definedName name="Energia" localSheetId="5" hidden="1">{#N/A,#N/A,FALSE,"Suprimentos";#N/A,#N/A,FALSE,"Medicina e Segurança";#N/A,#N/A,FALSE,"Administração";#N/A,#N/A,FALSE,"Meio Ambiente";#N/A,#N/A,FALSE,"Operação (Mina)";#N/A,#N/A,FALSE,"Operação (Porto)"}</definedName>
    <definedName name="Energia" hidden="1">{#N/A,#N/A,FALSE,"Suprimentos";#N/A,#N/A,FALSE,"Medicina e Segurança";#N/A,#N/A,FALSE,"Administração";#N/A,#N/A,FALSE,"Meio Ambiente";#N/A,#N/A,FALSE,"Operação (Mina)";#N/A,#N/A,FALSE,"Operação (Porto)"}</definedName>
    <definedName name="ENT">#REF!</definedName>
    <definedName name="ENTDADOS">#N/A</definedName>
    <definedName name="ENTREGA">OFFSET(#REF!,0,0,COUNTA(#REF!)-1,1)</definedName>
    <definedName name="EPI">#REF!</definedName>
    <definedName name="EPIAdm.Local">#REF!</definedName>
    <definedName name="EPIUNIT">#REF!</definedName>
    <definedName name="EQ">#REF!</definedName>
    <definedName name="EQDIVUNIT">#REF!</definedName>
    <definedName name="EQESPUNIT">#REF!</definedName>
    <definedName name="EQP">#REF!</definedName>
    <definedName name="eqpt">#REF!</definedName>
    <definedName name="EQSEC">#REF!</definedName>
    <definedName name="EQSTR">#N/A</definedName>
    <definedName name="EQUIP">#REF!</definedName>
    <definedName name="Equip.Especiais">#REF!</definedName>
    <definedName name="EQUIPAMENTO" localSheetId="3">#N/A</definedName>
    <definedName name="EQUIPAMENTO" localSheetId="5">#N/A</definedName>
    <definedName name="EQUIPAMENTO">#REF!</definedName>
    <definedName name="EQUIPAMENTOS">#REF!</definedName>
    <definedName name="Equipamentos1">#REF!</definedName>
    <definedName name="EquipamentosEspec">#REF!</definedName>
    <definedName name="EQUIPE">#REF!</definedName>
    <definedName name="EQUIPEB">#REF!</definedName>
    <definedName name="EQUIPEC">#REF!</definedName>
    <definedName name="EQUIPECA">#REF!</definedName>
    <definedName name="EQUIPECD">#REF!</definedName>
    <definedName name="EQUIPECM">#REF!</definedName>
    <definedName name="EQUIPECT">#REF!</definedName>
    <definedName name="EQUIPECV">#REF!</definedName>
    <definedName name="EQUIPEE">#REF!</definedName>
    <definedName name="EQUIPEF">#REF!</definedName>
    <definedName name="EQUIPEJP">#REF!</definedName>
    <definedName name="EQUIPEL">#REF!</definedName>
    <definedName name="EQUIPELE">#REF!</definedName>
    <definedName name="EQUIPEM">#REF!</definedName>
    <definedName name="EQUIPEN">#REF!</definedName>
    <definedName name="EQUIPEP">#REF!</definedName>
    <definedName name="EQUIPEQ">#REF!</definedName>
    <definedName name="EQUIPERP">#REF!</definedName>
    <definedName name="EQUIPES">#REF!</definedName>
    <definedName name="EQUIPETACF">#REF!</definedName>
    <definedName name="EQUIPETACI">#REF!</definedName>
    <definedName name="EQUIPETACR">#REF!</definedName>
    <definedName name="EQUIPETACS">#REF!</definedName>
    <definedName name="EQUIPETI">#REF!</definedName>
    <definedName name="EQUIPETPEADS">#REF!</definedName>
    <definedName name="EQUIPETPVCR">#REF!</definedName>
    <definedName name="EQUIPETPVCS">#REF!</definedName>
    <definedName name="EQUIPETRA">#REF!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ASECRON">#N/A</definedName>
    <definedName name="erb" localSheetId="3" hidden="1">{"'Quadro'!$A$4:$BG$78"}</definedName>
    <definedName name="erb" localSheetId="5" hidden="1">{"'Quadro'!$A$4:$BG$78"}</definedName>
    <definedName name="erb" hidden="1">{"'Quadro'!$A$4:$BG$78"}</definedName>
    <definedName name="erc" localSheetId="3" hidden="1">{"'RR'!$A$2:$E$81"}</definedName>
    <definedName name="erc" localSheetId="5" hidden="1">{"'RR'!$A$2:$E$81"}</definedName>
    <definedName name="erc" hidden="1">{"'RR'!$A$2:$E$81"}</definedName>
    <definedName name="ERDQWD" localSheetId="3" hidden="1">{"'REL CUSTODIF'!$B$1:$H$72"}</definedName>
    <definedName name="ERDQWD" localSheetId="5" hidden="1">{"'REL CUSTODIF'!$B$1:$H$72"}</definedName>
    <definedName name="ERDQWD" hidden="1">{"'REL CUSTODIF'!$B$1:$H$72"}</definedName>
    <definedName name="erika" localSheetId="3" hidden="1">{#N/A,#N/A,FALSE,"ET-CAPA";#N/A,#N/A,FALSE,"ET-PAG1";#N/A,#N/A,FALSE,"ET-PAG2";#N/A,#N/A,FALSE,"ET-PAG3";#N/A,#N/A,FALSE,"ET-PAG4";#N/A,#N/A,FALSE,"ET-PAG5"}</definedName>
    <definedName name="erika" localSheetId="5" hidden="1">{#N/A,#N/A,FALSE,"ET-CAPA";#N/A,#N/A,FALSE,"ET-PAG1";#N/A,#N/A,FALSE,"ET-PAG2";#N/A,#N/A,FALSE,"ET-PAG3";#N/A,#N/A,FALSE,"ET-PAG4";#N/A,#N/A,FALSE,"ET-PAG5"}</definedName>
    <definedName name="erika" hidden="1">{#N/A,#N/A,FALSE,"ET-CAPA";#N/A,#N/A,FALSE,"ET-PAG1";#N/A,#N/A,FALSE,"ET-PAG2";#N/A,#N/A,FALSE,"ET-PAG3";#N/A,#N/A,FALSE,"ET-PAG4";#N/A,#N/A,FALSE,"ET-PAG5"}</definedName>
    <definedName name="ERQ4TRWER" localSheetId="3" hidden="1">{"'REL CUSTODIF'!$B$1:$H$72"}</definedName>
    <definedName name="ERQ4TRWER" localSheetId="5" hidden="1">{"'REL CUSTODIF'!$B$1:$H$72"}</definedName>
    <definedName name="ERQ4TRWER" hidden="1">{"'REL CUSTODIF'!$B$1:$H$72"}</definedName>
    <definedName name="ERQEER" localSheetId="3" hidden="1">{"'REL CUSTODIF'!$B$1:$H$72"}</definedName>
    <definedName name="ERQEER" localSheetId="5" hidden="1">{"'REL CUSTODIF'!$B$1:$H$72"}</definedName>
    <definedName name="ERQEER" hidden="1">{"'REL CUSTODIF'!$B$1:$H$72"}</definedName>
    <definedName name="ERRO" localSheetId="3" hidden="1">{"'CptDifn'!$AA$32:$AG$32"}</definedName>
    <definedName name="ERRO" localSheetId="5" hidden="1">{"'CptDifn'!$AA$32:$AG$32"}</definedName>
    <definedName name="ERRO" hidden="1">{"'CptDifn'!$AA$32:$AG$32"}</definedName>
    <definedName name="ERRO1" localSheetId="3" hidden="1">{"'CptDifn'!$AA$32:$AG$32"}</definedName>
    <definedName name="ERRO1" localSheetId="5" hidden="1">{"'CptDifn'!$AA$32:$AG$32"}</definedName>
    <definedName name="ERRO1" hidden="1">{"'CptDifn'!$AA$32:$AG$32"}</definedName>
    <definedName name="ERRO3" localSheetId="3" hidden="1">{"'CptDifn'!$AA$32:$AG$32"}</definedName>
    <definedName name="ERRO3" localSheetId="5" hidden="1">{"'CptDifn'!$AA$32:$AG$32"}</definedName>
    <definedName name="ERRO3" hidden="1">{"'CptDifn'!$AA$32:$AG$32"}</definedName>
    <definedName name="ERRO4" localSheetId="3" hidden="1">{"'CptDifn'!$AA$32:$AG$32"}</definedName>
    <definedName name="ERRO4" localSheetId="5" hidden="1">{"'CptDifn'!$AA$32:$AG$32"}</definedName>
    <definedName name="ERRO4" hidden="1">{"'CptDifn'!$AA$32:$AG$32"}</definedName>
    <definedName name="ERRO5" localSheetId="3" hidden="1">{"'CptDifn'!$AA$32:$AG$32"}</definedName>
    <definedName name="ERRO5" localSheetId="5" hidden="1">{"'CptDifn'!$AA$32:$AG$32"}</definedName>
    <definedName name="ERRO5" hidden="1">{"'CptDifn'!$AA$32:$AG$32"}</definedName>
    <definedName name="ERRO6" localSheetId="3" hidden="1">{"'CptDifn'!$AA$32:$AG$32"}</definedName>
    <definedName name="ERRO6" localSheetId="5" hidden="1">{"'CptDifn'!$AA$32:$AG$32"}</definedName>
    <definedName name="ERRO6" hidden="1">{"'CptDifn'!$AA$32:$AG$32"}</definedName>
    <definedName name="ERRRRRRRRRRRRRRRO" localSheetId="3" hidden="1">{"'CptDifn'!$AA$32:$AG$32"}</definedName>
    <definedName name="ERRRRRRRRRRRRRRRO" localSheetId="5" hidden="1">{"'CptDifn'!$AA$32:$AG$32"}</definedName>
    <definedName name="ERRRRRRRRRRRRRRRO" hidden="1">{"'CptDifn'!$AA$32:$AG$32"}</definedName>
    <definedName name="ERWGF2R3GF" localSheetId="3" hidden="1">{"'REL CUSTODIF'!$B$1:$H$72"}</definedName>
    <definedName name="ERWGF2R3GF" localSheetId="5" hidden="1">{"'REL CUSTODIF'!$B$1:$H$72"}</definedName>
    <definedName name="ERWGF2R3GF" hidden="1">{"'REL CUSTODIF'!$B$1:$H$72"}</definedName>
    <definedName name="ES">#REF!</definedName>
    <definedName name="ESEQ">#REF!</definedName>
    <definedName name="ESEQ1">#REF!</definedName>
    <definedName name="ESFA">#REF!</definedName>
    <definedName name="Esgoto">#REF!</definedName>
    <definedName name="ESP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_B" localSheetId="3" hidden="1">{#N/A,#N/A,FALSE,"PCOL"}</definedName>
    <definedName name="est_B" localSheetId="5" hidden="1">{#N/A,#N/A,FALSE,"PCOL"}</definedName>
    <definedName name="est_B" hidden="1">{#N/A,#N/A,FALSE,"PCOL"}</definedName>
    <definedName name="ESTACIONAMENTO">#REF!</definedName>
    <definedName name="Estagiários">#REF!</definedName>
    <definedName name="ESTELE">#REF!</definedName>
    <definedName name="ESTMEC">#REF!</definedName>
    <definedName name="ESTRAD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U" localSheetId="3" hidden="1">{#N/A,#N/A,FALSE,"PCOL"}</definedName>
    <definedName name="eU" localSheetId="5" hidden="1">{#N/A,#N/A,FALSE,"PCOL"}</definedName>
    <definedName name="eU" hidden="1">{#N/A,#N/A,FALSE,"PCOL"}</definedName>
    <definedName name="EURO">#REF!</definedName>
    <definedName name="Evalmov">#REF!</definedName>
    <definedName name="Evalmov1">#REF!</definedName>
    <definedName name="eVolChv">#REF!</definedName>
    <definedName name="EVolFat">#REF!</definedName>
    <definedName name="Evolmov">#REF!</definedName>
    <definedName name="Evolmov1">#REF!</definedName>
    <definedName name="EXAME_GERAL">#REF!</definedName>
    <definedName name="EXAMES">#REF!</definedName>
    <definedName name="EXAMES_MÉDICOS">#REF!</definedName>
    <definedName name="EXAMUNIT">#REF!</definedName>
    <definedName name="Excel_BuiltIn__FilterDatabase_1">#REF!</definedName>
    <definedName name="Excel_BuiltIn__FilterDatabase_16">#REF!</definedName>
    <definedName name="Excel_BuiltIn__FilterDatabase_2">#REF!</definedName>
    <definedName name="Excel_BuiltIn__FilterDatabase_2_1">#REF!</definedName>
    <definedName name="Excel_BuiltIn__FilterDatabase_3">#REF!</definedName>
    <definedName name="Excel_BuiltIn_Print_Area">#REF!</definedName>
    <definedName name="Excel_BuiltIn_Print_Area_0">"$#REF!.$A$1:$G$349"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3">#REF!</definedName>
    <definedName name="Excel_BuiltIn_Print_Area_6">#REF!</definedName>
    <definedName name="Excel_BuiltIn_Print_Titles_0">"$#REF!.$A$1:$IJ$7"</definedName>
    <definedName name="Excel_BuiltIn_Print_Titles_1">#REF!</definedName>
    <definedName name="Excel_BuiltIn_Print_Titles_1_3">#REF!</definedName>
    <definedName name="Excel_BuiltIn_Print_Titles_10">#REF!</definedName>
    <definedName name="Excel_BuiltIn_Print_Titles_2">#REF!</definedName>
    <definedName name="Excel_BuiltIn_Print_Titles_3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9">#REF!</definedName>
    <definedName name="Exch_Rate">#REF!</definedName>
    <definedName name="ExecPess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pansao" localSheetId="3" hidden="1">{"'CptDifn'!$AA$32:$AG$32"}</definedName>
    <definedName name="expansao" localSheetId="5" hidden="1">{"'CptDifn'!$AA$32:$AG$32"}</definedName>
    <definedName name="expansao" hidden="1">{"'CptDifn'!$AA$32:$AG$32"}</definedName>
    <definedName name="EXPEDIENTE">#REF!</definedName>
    <definedName name="Expense_Type">#REF!</definedName>
    <definedName name="EXPLOSIVO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PLOSIV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XT__m">#REF!</definedName>
    <definedName name="extensao">#REF!</definedName>
    <definedName name="F">#REF!</definedName>
    <definedName name="F.">#REF!</definedName>
    <definedName name="f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brici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brici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ac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DSFDS" localSheetId="3" hidden="1">{"'REL CUSTODIF'!$B$1:$H$72"}</definedName>
    <definedName name="FADSFDS" localSheetId="5" hidden="1">{"'REL CUSTODIF'!$B$1:$H$72"}</definedName>
    <definedName name="FADSFDS" hidden="1">{"'REL CUSTODIF'!$B$1:$H$72"}</definedName>
    <definedName name="FAEFRQER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EFRQER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AIXA">#REF!</definedName>
    <definedName name="FAIXAAC">#REF!:INDIRECT(#REF!)</definedName>
    <definedName name="FAIXAAF">#REF!:INDIRECT(#REF!)</definedName>
    <definedName name="FAIXAAG">#REF!:INDIRECT(#REF!)</definedName>
    <definedName name="FAIXAAH">#REF!:INDIRECT(#REF!)</definedName>
    <definedName name="FAIXAAJ">#REF!:INDIRECT(#REF!)</definedName>
    <definedName name="FAIXAAM">#REF!:INDIRECT(#REF!)</definedName>
    <definedName name="FAIXACOD">#REF!</definedName>
    <definedName name="FAIXACP">#REF!</definedName>
    <definedName name="FAIXACRON">#N/A</definedName>
    <definedName name="FAIXADFFQ">#REF!:INDIRECT(#REF!)</definedName>
    <definedName name="FAIXAFRGG">#REF!:INDIRECT(#REF!)</definedName>
    <definedName name="FAIXAGHGI">#REF!:INDIRECT(#REF!)</definedName>
    <definedName name="FAIXAGJGV">#REF!:INDIRECT(#REF!)</definedName>
    <definedName name="FAIXAGJHA">#REF!:INDIRECT(#REF!)</definedName>
    <definedName name="FAIXAGWHG">#REF!:INDIRECT(#REF!)</definedName>
    <definedName name="FAIXAHBHO">#REF!:INDIRECT(#REF!)</definedName>
    <definedName name="FAIXAPQR">#REF!:INDIRECT(#REF!)</definedName>
    <definedName name="FAIXASV">#REF!:INDIRECT(#REF!)</definedName>
    <definedName name="FAIXAWXY">#REF!:INDIRECT(#REF!)</definedName>
    <definedName name="FAROL_2" localSheetId="3" hidden="1">{"'gráf jan00'!$A$1:$AK$41"}</definedName>
    <definedName name="FAROL_2" localSheetId="5" hidden="1">{"'gráf jan00'!$A$1:$AK$41"}</definedName>
    <definedName name="FAROL_2" hidden="1">{"'gráf jan00'!$A$1:$AK$41"}</definedName>
    <definedName name="fasdfasfdadsf" localSheetId="3" hidden="1">{"'gráf jan00'!$A$1:$AK$41"}</definedName>
    <definedName name="fasdfasfdadsf" localSheetId="5" hidden="1">{"'gráf jan00'!$A$1:$AK$41"}</definedName>
    <definedName name="fasdfasfdadsf" hidden="1">{"'gráf jan00'!$A$1:$AK$41"}</definedName>
    <definedName name="fasdfv">#REF!</definedName>
    <definedName name="FATBRUTO">#REF!</definedName>
    <definedName name="FatDirProj">#REF!</definedName>
    <definedName name="FatDirTag">#REF!</definedName>
    <definedName name="FatDirUntag">#REF!</definedName>
    <definedName name="FATELE">#REF!</definedName>
    <definedName name="FATMEC">#REF!</definedName>
    <definedName name="Fator">#REF!</definedName>
    <definedName name="FATTML">#REF!</definedName>
    <definedName name="FATURAS2002" localSheetId="3" hidden="1">{#N/A,#N/A,TRUE,"Serviços"}</definedName>
    <definedName name="FATURAS2002" localSheetId="5" hidden="1">{#N/A,#N/A,TRUE,"Serviços"}</definedName>
    <definedName name="FATURAS2002" hidden="1">{#N/A,#N/A,TRUE,"Serviços"}</definedName>
    <definedName name="FAZP">#REF!</definedName>
    <definedName name="fcb">#REF!</definedName>
    <definedName name="FCS">#REF!</definedName>
    <definedName name="fd" localSheetId="3" hidden="1">{"'Quadro'!$A$4:$BG$78"}</definedName>
    <definedName name="fd" localSheetId="5" hidden="1">{"'Quadro'!$A$4:$BG$78"}</definedName>
    <definedName name="fd" hidden="1">{"'Quadro'!$A$4:$BG$78"}</definedName>
    <definedName name="fdaf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b">#REF!</definedName>
    <definedName name="FDeded" localSheetId="3" hidden="1">{"'REL CUSTODIF'!$B$1:$H$72"}</definedName>
    <definedName name="FDeded" localSheetId="5" hidden="1">{"'REL CUSTODIF'!$B$1:$H$72"}</definedName>
    <definedName name="FDeded" hidden="1">{"'REL CUSTODIF'!$B$1:$H$72"}</definedName>
    <definedName name="FDEFDSF" localSheetId="3" hidden="1">{"'REL CUSTODIF'!$B$1:$H$72"}</definedName>
    <definedName name="FDEFDSF" localSheetId="5" hidden="1">{"'REL CUSTODIF'!$B$1:$H$72"}</definedName>
    <definedName name="FDEFDSF" hidden="1">{"'REL CUSTODIF'!$B$1:$H$72"}</definedName>
    <definedName name="fdf">#REF!</definedName>
    <definedName name="FDFDFDFDF" localSheetId="3" hidden="1">{"'gráf jan00'!$A$1:$AK$41"}</definedName>
    <definedName name="FDFDFDFDF" localSheetId="5" hidden="1">{"'gráf jan00'!$A$1:$AK$41"}</definedName>
    <definedName name="FDFDFDFDF" hidden="1">{"'gráf jan00'!$A$1:$AK$41"}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" localSheetId="3" hidden="1">{"'gráf jan00'!$A$1:$AK$41"}</definedName>
    <definedName name="fds" localSheetId="5" hidden="1">{"'gráf jan00'!$A$1:$AK$41"}</definedName>
    <definedName name="fds" hidden="1">{"'gráf jan00'!$A$1:$AK$41"}</definedName>
    <definedName name="FDSAFDSA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A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SAFDSF">#REF!</definedName>
    <definedName name="FdsfdF" localSheetId="3" hidden="1">{"'REL CUSTODIF'!$B$1:$H$72"}</definedName>
    <definedName name="FdsfdF" localSheetId="5" hidden="1">{"'REL CUSTODIF'!$B$1:$H$72"}</definedName>
    <definedName name="FdsfdF" hidden="1">{"'REL CUSTODIF'!$B$1:$H$72"}</definedName>
    <definedName name="FDSFSD" localSheetId="3" hidden="1">{"'gráf jan00'!$A$1:$AK$41"}</definedName>
    <definedName name="FDSFSD" localSheetId="5" hidden="1">{"'gráf jan00'!$A$1:$AK$41"}</definedName>
    <definedName name="FDSFSD" hidden="1">{"'gráf jan00'!$A$1:$AK$41"}</definedName>
    <definedName name="FEC">#REF!</definedName>
    <definedName name="FECHAMENTO">#REF!</definedName>
    <definedName name="FEFRQEFEFD" localSheetId="3" hidden="1">{"'REL CUSTODIF'!$B$1:$H$72"}</definedName>
    <definedName name="FEFRQEFEFD" localSheetId="5" hidden="1">{"'REL CUSTODIF'!$B$1:$H$72"}</definedName>
    <definedName name="FEFRQEFEFD" hidden="1">{"'REL CUSTODIF'!$B$1:$H$72"}</definedName>
    <definedName name="fegregtrtg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nce">#REF!</definedName>
    <definedName name="Fer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iados">#REF!</definedName>
    <definedName name="Fernanda" localSheetId="3" hidden="1">{#N/A,#N/A,TRUE,"indice";#N/A,#N/A,TRUE,"indicadores";#N/A,#N/A,TRUE,"comentarios"}</definedName>
    <definedName name="Fernanda" localSheetId="5" hidden="1">{#N/A,#N/A,TRUE,"indice";#N/A,#N/A,TRUE,"indicadores";#N/A,#N/A,TRUE,"comentarios"}</definedName>
    <definedName name="Fernanda" hidden="1">{#N/A,#N/A,TRUE,"indice";#N/A,#N/A,TRUE,"indicadores";#N/A,#N/A,TRUE,"comentarios"}</definedName>
    <definedName name="Ferramentas">#REF!</definedName>
    <definedName name="FerramentasMatConsumo">#REF!</definedName>
    <definedName name="FERRO">#REF!</definedName>
    <definedName name="FERRO_1">#REF!</definedName>
    <definedName name="FERRO_1_2">#REF!</definedName>
    <definedName name="FERRO_1_3">#REF!</definedName>
    <definedName name="FERRO_2">#REF!</definedName>
    <definedName name="FERRO_3">#REF!</definedName>
    <definedName name="FERRO_4">#REF!</definedName>
    <definedName name="Feuille_1">#REF!</definedName>
    <definedName name="Feuille_10">#REF!</definedName>
    <definedName name="Feuille_115">#REF!</definedName>
    <definedName name="Feuille_3">#REF!</definedName>
    <definedName name="Feuille_4">#REF!</definedName>
    <definedName name="Feuille_5">#REF!</definedName>
    <definedName name="Feuille_6">#REF!</definedName>
    <definedName name="Feuille_7">#REF!</definedName>
    <definedName name="Feuille_8">#REF!</definedName>
    <definedName name="Feuille_9">#REF!</definedName>
    <definedName name="Feulle_1">#REF!</definedName>
    <definedName name="Fev" localSheetId="3">'Time line '!DaysAndWeeks+DATE([0]!CalendárioYear,2,1)-WEEKDAY(DATE([0]!CalendárioYear,2,1),'Time line '!OpçãodeDiadaSemana)+1</definedName>
    <definedName name="Fev" localSheetId="5">'Time line  (2)'!DaysAndWeeks+DATE([0]!CalendárioYear,2,1)-WEEKDAY(DATE([0]!CalendárioYear,2,1),'Time line  (2)'!OpçãodeDiadaSemana)+1</definedName>
    <definedName name="Fev">DaysAndWeeks+DATE(CalendárioYear,2,1)-WEEKDAY(DATE(CalendárioYear,2,1),OpçãodeDiadaSemana)+1</definedName>
    <definedName name="Fevereiro" localSheetId="3" hidden="1">{"'Quadro'!$A$4:$BG$78"}</definedName>
    <definedName name="Fevereiro" localSheetId="5" hidden="1">{"'Quadro'!$A$4:$BG$78"}</definedName>
    <definedName name="Fevereiro" hidden="1">{"'Quadro'!$A$4:$BG$78"}</definedName>
    <definedName name="FF">#REF!</definedName>
    <definedName name="ff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f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f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ff4e">#REF!</definedName>
    <definedName name="FFR">#REF!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VP" localSheetId="3" hidden="1">{"'gráf jan00'!$A$1:$AK$41"}</definedName>
    <definedName name="FFVP" localSheetId="5" hidden="1">{"'gráf jan00'!$A$1:$AK$41"}</definedName>
    <definedName name="FFVP" hidden="1">{"'gráf jan00'!$A$1:$AK$41"}</definedName>
    <definedName name="FFVP1" localSheetId="3" hidden="1">{"'gráf jan00'!$A$1:$AK$41"}</definedName>
    <definedName name="FFVP1" localSheetId="5" hidden="1">{"'gráf jan00'!$A$1:$AK$41"}</definedName>
    <definedName name="FFVP1" hidden="1">{"'gráf jan00'!$A$1:$AK$41"}</definedName>
    <definedName name="FFVP10" localSheetId="3" hidden="1">{"'gráf jan00'!$A$1:$AK$41"}</definedName>
    <definedName name="FFVP10" localSheetId="5" hidden="1">{"'gráf jan00'!$A$1:$AK$41"}</definedName>
    <definedName name="FFVP10" hidden="1">{"'gráf jan00'!$A$1:$AK$41"}</definedName>
    <definedName name="FFVP11" localSheetId="3" hidden="1">{"'gráf jan00'!$A$1:$AK$41"}</definedName>
    <definedName name="FFVP11" localSheetId="5" hidden="1">{"'gráf jan00'!$A$1:$AK$41"}</definedName>
    <definedName name="FFVP11" hidden="1">{"'gráf jan00'!$A$1:$AK$41"}</definedName>
    <definedName name="FFVP12" localSheetId="3" hidden="1">{"'gráf jan00'!$A$1:$AK$41"}</definedName>
    <definedName name="FFVP12" localSheetId="5" hidden="1">{"'gráf jan00'!$A$1:$AK$41"}</definedName>
    <definedName name="FFVP12" hidden="1">{"'gráf jan00'!$A$1:$AK$41"}</definedName>
    <definedName name="FFVP13" localSheetId="3" hidden="1">{"'gráf jan00'!$A$1:$AK$41"}</definedName>
    <definedName name="FFVP13" localSheetId="5" hidden="1">{"'gráf jan00'!$A$1:$AK$41"}</definedName>
    <definedName name="FFVP13" hidden="1">{"'gráf jan00'!$A$1:$AK$41"}</definedName>
    <definedName name="FFVP14" localSheetId="3" hidden="1">{"'gráf jan00'!$A$1:$AK$41"}</definedName>
    <definedName name="FFVP14" localSheetId="5" hidden="1">{"'gráf jan00'!$A$1:$AK$41"}</definedName>
    <definedName name="FFVP14" hidden="1">{"'gráf jan00'!$A$1:$AK$41"}</definedName>
    <definedName name="FFVP15" localSheetId="3" hidden="1">{"'gráf jan00'!$A$1:$AK$41"}</definedName>
    <definedName name="FFVP15" localSheetId="5" hidden="1">{"'gráf jan00'!$A$1:$AK$41"}</definedName>
    <definedName name="FFVP15" hidden="1">{"'gráf jan00'!$A$1:$AK$41"}</definedName>
    <definedName name="FFVP16" localSheetId="3" hidden="1">{"'gráf jan00'!$A$1:$AK$41"}</definedName>
    <definedName name="FFVP16" localSheetId="5" hidden="1">{"'gráf jan00'!$A$1:$AK$41"}</definedName>
    <definedName name="FFVP16" hidden="1">{"'gráf jan00'!$A$1:$AK$41"}</definedName>
    <definedName name="FFVP2" localSheetId="3" hidden="1">{"'gráf jan00'!$A$1:$AK$41"}</definedName>
    <definedName name="FFVP2" localSheetId="5" hidden="1">{"'gráf jan00'!$A$1:$AK$41"}</definedName>
    <definedName name="FFVP2" hidden="1">{"'gráf jan00'!$A$1:$AK$41"}</definedName>
    <definedName name="FFVP3" localSheetId="3" hidden="1">{"'gráf jan00'!$A$1:$AK$41"}</definedName>
    <definedName name="FFVP3" localSheetId="5" hidden="1">{"'gráf jan00'!$A$1:$AK$41"}</definedName>
    <definedName name="FFVP3" hidden="1">{"'gráf jan00'!$A$1:$AK$41"}</definedName>
    <definedName name="FFVP4" localSheetId="3" hidden="1">{"'gráf jan00'!$A$1:$AK$41"}</definedName>
    <definedName name="FFVP4" localSheetId="5" hidden="1">{"'gráf jan00'!$A$1:$AK$41"}</definedName>
    <definedName name="FFVP4" hidden="1">{"'gráf jan00'!$A$1:$AK$41"}</definedName>
    <definedName name="ffvp43" localSheetId="3" hidden="1">{"'gráf jan00'!$A$1:$AK$41"}</definedName>
    <definedName name="ffvp43" localSheetId="5" hidden="1">{"'gráf jan00'!$A$1:$AK$41"}</definedName>
    <definedName name="ffvp43" hidden="1">{"'gráf jan00'!$A$1:$AK$41"}</definedName>
    <definedName name="FFVP5" localSheetId="3" hidden="1">{"'gráf jan00'!$A$1:$AK$41"}</definedName>
    <definedName name="FFVP5" localSheetId="5" hidden="1">{"'gráf jan00'!$A$1:$AK$41"}</definedName>
    <definedName name="FFVP5" hidden="1">{"'gráf jan00'!$A$1:$AK$41"}</definedName>
    <definedName name="FFVP6" localSheetId="3" hidden="1">{"'gráf jan00'!$A$1:$AK$41"}</definedName>
    <definedName name="FFVP6" localSheetId="5" hidden="1">{"'gráf jan00'!$A$1:$AK$41"}</definedName>
    <definedName name="FFVP6" hidden="1">{"'gráf jan00'!$A$1:$AK$41"}</definedName>
    <definedName name="FFVP7" localSheetId="3" hidden="1">{"'gráf jan00'!$A$1:$AK$41"}</definedName>
    <definedName name="FFVP7" localSheetId="5" hidden="1">{"'gráf jan00'!$A$1:$AK$41"}</definedName>
    <definedName name="FFVP7" hidden="1">{"'gráf jan00'!$A$1:$AK$41"}</definedName>
    <definedName name="FFVP8" localSheetId="3" hidden="1">{"'gráf jan00'!$A$1:$AK$41"}</definedName>
    <definedName name="FFVP8" localSheetId="5" hidden="1">{"'gráf jan00'!$A$1:$AK$41"}</definedName>
    <definedName name="FFVP8" hidden="1">{"'gráf jan00'!$A$1:$AK$41"}</definedName>
    <definedName name="FFVP9" localSheetId="3" hidden="1">{"'gráf jan00'!$A$1:$AK$41"}</definedName>
    <definedName name="FFVP9" localSheetId="5" hidden="1">{"'gráf jan00'!$A$1:$AK$41"}</definedName>
    <definedName name="FFVP9" hidden="1">{"'gráf jan00'!$A$1:$AK$41"}</definedName>
    <definedName name="fgfsgrgq" localSheetId="3" hidden="1">{"'REL CUSTODIF'!$B$1:$H$72"}</definedName>
    <definedName name="fgfsgrgq" localSheetId="5" hidden="1">{"'REL CUSTODIF'!$B$1:$H$72"}</definedName>
    <definedName name="fgfsgrgq" hidden="1">{"'REL CUSTODIF'!$B$1:$H$72"}</definedName>
    <definedName name="fgs" localSheetId="3" hidden="1">{"'gráf jan00'!$A$1:$AK$41"}</definedName>
    <definedName name="fgs" localSheetId="5" hidden="1">{"'gráf jan00'!$A$1:$AK$41"}</definedName>
    <definedName name="fgs" hidden="1">{"'gráf jan00'!$A$1:$AK$41"}</definedName>
    <definedName name="FGV">#REF!</definedName>
    <definedName name="FGVC">#REF!</definedName>
    <definedName name="fgwg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w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HDZ" localSheetId="3" hidden="1">{"'gráf jan00'!$A$1:$AK$41"}</definedName>
    <definedName name="FHDZ" localSheetId="5" hidden="1">{"'gráf jan00'!$A$1:$AK$41"}</definedName>
    <definedName name="FHDZ" hidden="1">{"'gráf jan00'!$A$1:$AK$41"}</definedName>
    <definedName name="fica">#REF!</definedName>
    <definedName name="ficam">#REF!</definedName>
    <definedName name="Figura" localSheetId="3">OFFSET(#REF!,MATCH(#REF!,[0]!ListaFotos,0)-1,0,1,1)</definedName>
    <definedName name="Figura" localSheetId="5">OFFSET(#REF!,MATCH(#REF!,[0]!ListaFotos,0)-1,0,1,1)</definedName>
    <definedName name="Figura">OFFSET(#REF!,MATCH(#REF!,ListaFotos,0)-1,0,1,1)</definedName>
    <definedName name="fill" hidden="1">#REF!</definedName>
    <definedName name="FIL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n">#REF!</definedName>
    <definedName name="FINA2">#REF!</definedName>
    <definedName name="FINANCEIRO">#REF!</definedName>
    <definedName name="fire">#REF!</definedName>
    <definedName name="firma1">#REF!</definedName>
    <definedName name="firma2">#REF!</definedName>
    <definedName name="FISCALIZACAO">#REF!</definedName>
    <definedName name="FISICO">#REF!</definedName>
    <definedName name="fiveone">#REF!</definedName>
    <definedName name="fivezero">#REF!</definedName>
    <definedName name="FJASLJFIL" localSheetId="3" hidden="1">{"'gráf jan00'!$A$1:$AK$41"}</definedName>
    <definedName name="FJASLJFIL" localSheetId="5" hidden="1">{"'gráf jan00'!$A$1:$AK$41"}</definedName>
    <definedName name="FJASLJFIL" hidden="1">{"'gráf jan00'!$A$1:$AK$41"}</definedName>
    <definedName name="fjrjrjrtj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JSLFJSL">#REF!</definedName>
    <definedName name="FL">#REF!</definedName>
    <definedName name="FLO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">#REF!</definedName>
    <definedName name="FLUXO">#REF!</definedName>
    <definedName name="Fluxogra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">#REF!</definedName>
    <definedName name="fofof">#REF!</definedName>
    <definedName name="fol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HA01" localSheetId="3" hidden="1">{#N/A,#N/A,TRUE,"Serviços"}</definedName>
    <definedName name="FOLHA01" localSheetId="5" hidden="1">{#N/A,#N/A,TRUE,"Serviços"}</definedName>
    <definedName name="FOLHA01" hidden="1">{#N/A,#N/A,TRUE,"Serviços"}</definedName>
    <definedName name="folha1" localSheetId="3" hidden="1">{#N/A,#N/A,TRUE,"Serviços"}</definedName>
    <definedName name="folha1" localSheetId="5" hidden="1">{#N/A,#N/A,TRUE,"Serviços"}</definedName>
    <definedName name="folha1" hidden="1">{#N/A,#N/A,TRUE,"Serviços"}</definedName>
    <definedName name="FolhaPagamento">#REF!</definedName>
    <definedName name="FolhaSocioExecutante">#REF!</definedName>
    <definedName name="FolResumoFlorestas" localSheetId="3" hidden="1">{"'REL CUSTODIF'!$B$1:$H$72"}</definedName>
    <definedName name="FolResumoFlorestas" localSheetId="5" hidden="1">{"'REL CUSTODIF'!$B$1:$H$72"}</definedName>
    <definedName name="FolResumoFlorestas" hidden="1">{"'REL CUSTODIF'!$B$1:$H$72"}</definedName>
    <definedName name="fonte">#REF!</definedName>
    <definedName name="FORDSUM">#N/A</definedName>
    <definedName name="FORM4">#REF!</definedName>
    <definedName name="FORMA_ADMISSÃO">#REF!</definedName>
    <definedName name="FORMAEQSEC">#REF!</definedName>
    <definedName name="Formalização">#REF!</definedName>
    <definedName name="FORMAT_">#N/A</definedName>
    <definedName name="FORMAT_1">#N/A</definedName>
    <definedName name="FORMAT_2">#N/A</definedName>
    <definedName name="FORMCOD">#REF!</definedName>
    <definedName name="FORMHH">#REF!</definedName>
    <definedName name="FORMHHAJUST">#REF!</definedName>
    <definedName name="FORMHHCALC">#REF!</definedName>
    <definedName name="FORMHHCOD">#REF!</definedName>
    <definedName name="FORMINDSECAJUST">#REF!</definedName>
    <definedName name="FORMPESOTOT">#REF!</definedName>
    <definedName name="FORMPRTOTAL">#REF!</definedName>
    <definedName name="FORMQUANTEQUIP">#REF!</definedName>
    <definedName name="FORMQUANTMAT">#REF!</definedName>
    <definedName name="FORRO">#REF!</definedName>
    <definedName name="foto">#REF!</definedName>
    <definedName name="fotos">#REF!</definedName>
    <definedName name="fotos1">#REF!</definedName>
    <definedName name="fp_mod">#REF!</definedName>
    <definedName name="fp_par">#REF!</definedName>
    <definedName name="fpp_1">#REF!</definedName>
    <definedName name="fpp_2">#REF!</definedName>
    <definedName name="fpp_3">#REF!</definedName>
    <definedName name="FQEWRFEWF" localSheetId="3" hidden="1">{"'REL CUSTODIF'!$B$1:$H$72"}</definedName>
    <definedName name="FQEWRFEWF" localSheetId="5" hidden="1">{"'REL CUSTODIF'!$B$1:$H$72"}</definedName>
    <definedName name="FQEWRFEWF" hidden="1">{"'REL CUSTODIF'!$B$1:$H$72"}</definedName>
    <definedName name="FREADVAL">#REF!</definedName>
    <definedName name="FREFIX">#REF!</definedName>
    <definedName name="FREPES">#REF!</definedName>
    <definedName name="frequência">#REF!</definedName>
    <definedName name="FRESAGEM">#REF!</definedName>
    <definedName name="Fresagem01" localSheetId="3" hidden="1">{#N/A,#N/A,TRUE,"Serviços"}</definedName>
    <definedName name="Fresagem01" localSheetId="5" hidden="1">{#N/A,#N/A,TRUE,"Serviços"}</definedName>
    <definedName name="Fresagem01" hidden="1">{#N/A,#N/A,TRUE,"Serviços"}</definedName>
    <definedName name="FRETE">#REF!</definedName>
    <definedName name="FRETES">#REF!</definedName>
    <definedName name="frfff">#REF!</definedName>
    <definedName name="FrotaAtual">#REF!</definedName>
    <definedName name="FRWAESR" localSheetId="3" hidden="1">{"'Quadro'!$A$4:$BG$78"}</definedName>
    <definedName name="FRWAESR" localSheetId="5" hidden="1">{"'Quadro'!$A$4:$BG$78"}</definedName>
    <definedName name="FRWAESR" hidden="1">{"'Quadro'!$A$4:$BG$78"}</definedName>
    <definedName name="FRWER" localSheetId="3" hidden="1">{"'REL CUSTODIF'!$B$1:$H$72"}</definedName>
    <definedName name="FRWER" localSheetId="5" hidden="1">{"'REL CUSTODIF'!$B$1:$H$72"}</definedName>
    <definedName name="FRWER" hidden="1">{"'REL CUSTODIF'!$B$1:$H$72"}</definedName>
    <definedName name="FSA" localSheetId="3" hidden="1">{"'Quadro'!$A$4:$BG$78"}</definedName>
    <definedName name="FSA" localSheetId="5" hidden="1">{"'Quadro'!$A$4:$BG$78"}</definedName>
    <definedName name="FSA" hidden="1">{"'Quadro'!$A$4:$BG$78"}</definedName>
    <definedName name="fsadfasd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localSheetId="3" hidden="1">{"'gráf jan00'!$A$1:$AK$41"}</definedName>
    <definedName name="fsd" localSheetId="5" hidden="1">{"'gráf jan00'!$A$1:$AK$41"}</definedName>
    <definedName name="fsd" hidden="1">{"'gráf jan00'!$A$1:$AK$41"}</definedName>
    <definedName name="FSDF" localSheetId="3" hidden="1">{"'Quadro'!$A$4:$BG$78"}</definedName>
    <definedName name="FSDF" localSheetId="5" hidden="1">{"'Quadro'!$A$4:$BG$78"}</definedName>
    <definedName name="FSDF" hidden="1">{"'Quadro'!$A$4:$BG$78"}</definedName>
    <definedName name="FSDS" localSheetId="3" hidden="1">{"'gráf jan00'!$A$1:$AK$41"}</definedName>
    <definedName name="FSDS" localSheetId="5" hidden="1">{"'gráf jan00'!$A$1:$AK$41"}</definedName>
    <definedName name="FSDS" hidden="1">{"'gráf jan00'!$A$1:$AK$41"}</definedName>
    <definedName name="ft">#REF!</definedName>
    <definedName name="FTU" localSheetId="3" hidden="1">{"'Quadro'!$A$4:$BG$78"}</definedName>
    <definedName name="FTU" localSheetId="5" hidden="1">{"'Quadro'!$A$4:$BG$78"}</definedName>
    <definedName name="FTU" hidden="1">{"'Quadro'!$A$4:$BG$78"}</definedName>
    <definedName name="FUNC">#N/A</definedName>
    <definedName name="FUNDODA">#REF!</definedName>
    <definedName name="FundoDePensão">#REF!</definedName>
    <definedName name="FUNGER">#N/A</definedName>
    <definedName name="FUNX">#N/A</definedName>
    <definedName name="fur">#REF!</definedName>
    <definedName name="f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PED">#REF!</definedName>
    <definedName name="G" localSheetId="3" hidden="1">{"'gráf jan00'!$A$1:$AK$41"}</definedName>
    <definedName name="G" localSheetId="5" hidden="1">{"'gráf jan00'!$A$1:$AK$41"}</definedName>
    <definedName name="G" hidden="1">{"'gráf jan00'!$A$1:$AK$41"}</definedName>
    <definedName name="gagag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AN" localSheetId="3" hidden="1">{#N/A,#N/A,FALSE,"PCOL"}</definedName>
    <definedName name="GAMAN" localSheetId="5" hidden="1">{#N/A,#N/A,FALSE,"PCOL"}</definedName>
    <definedName name="GAMAN" hidden="1">{#N/A,#N/A,FALSE,"PCOL"}</definedName>
    <definedName name="GAMAR" localSheetId="3" hidden="1">{"'CptDifn'!$AA$32:$AG$32"}</definedName>
    <definedName name="GAMAR" localSheetId="5" hidden="1">{"'CptDifn'!$AA$32:$AG$32"}</definedName>
    <definedName name="GAMAR" hidden="1">{"'CptDifn'!$AA$32:$AG$32"}</definedName>
    <definedName name="GAMAR1" localSheetId="3" hidden="1">{"'CptDifn'!$AA$32:$AG$32"}</definedName>
    <definedName name="GAMAR1" localSheetId="5" hidden="1">{"'CptDifn'!$AA$32:$AG$32"}</definedName>
    <definedName name="GAMAR1" hidden="1">{"'CptDifn'!$AA$32:$AG$32"}</definedName>
    <definedName name="gamen" localSheetId="3" hidden="1">{#N/A,#N/A,FALSE,"PCOL"}</definedName>
    <definedName name="gamen" localSheetId="5" hidden="1">{#N/A,#N/A,FALSE,"PCOL"}</definedName>
    <definedName name="gamen" hidden="1">{#N/A,#N/A,FALSE,"PCOL"}</definedName>
    <definedName name="garug01" localSheetId="3" hidden="1">{"'REL CUSTODIF'!$B$1:$H$72"}</definedName>
    <definedName name="garug01" localSheetId="5" hidden="1">{"'REL CUSTODIF'!$B$1:$H$72"}</definedName>
    <definedName name="garug01" hidden="1">{"'REL CUSTODIF'!$B$1:$H$72"}</definedName>
    <definedName name="garug1" localSheetId="3" hidden="1">{#N/A,#N/A,FALSE,"PCOL"}</definedName>
    <definedName name="garug1" localSheetId="5" hidden="1">{#N/A,#N/A,FALSE,"PCOL"}</definedName>
    <definedName name="garug1" hidden="1">{#N/A,#N/A,FALSE,"PCOL"}</definedName>
    <definedName name="GASEG" localSheetId="3" hidden="1">{"'Quadro'!$A$4:$BG$78"}</definedName>
    <definedName name="GASEG" localSheetId="5" hidden="1">{"'Quadro'!$A$4:$BG$78"}</definedName>
    <definedName name="GASEG" hidden="1">{"'Quadro'!$A$4:$BG$78"}</definedName>
    <definedName name="GAVTG" localSheetId="3" hidden="1">{"'gráf jan00'!$A$1:$AK$41"}</definedName>
    <definedName name="GAVTG" localSheetId="5" hidden="1">{"'gráf jan00'!$A$1:$AK$41"}</definedName>
    <definedName name="GAVTG" hidden="1">{"'gráf jan00'!$A$1:$AK$41"}</definedName>
    <definedName name="GBP">#REF!</definedName>
    <definedName name="gd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dfg" localSheetId="3" hidden="1">{"'gráf jan00'!$A$1:$AK$41"}</definedName>
    <definedName name="gdfg" localSheetId="5" hidden="1">{"'gráf jan00'!$A$1:$AK$41"}</definedName>
    <definedName name="gdfg" hidden="1">{"'gráf jan00'!$A$1:$AK$41"}</definedName>
    <definedName name="GDS" localSheetId="3" hidden="1">{"'Quadro'!$A$4:$BG$78"}</definedName>
    <definedName name="GDS" localSheetId="5" hidden="1">{"'Quadro'!$A$4:$BG$78"}</definedName>
    <definedName name="GDS" hidden="1">{"'Quadro'!$A$4:$BG$78"}</definedName>
    <definedName name="gemin" localSheetId="3" hidden="1">{#N/A,#N/A,FALSE,"PCOL"}</definedName>
    <definedName name="gemin" localSheetId="5" hidden="1">{#N/A,#N/A,FALSE,"PCOL"}</definedName>
    <definedName name="gemin" hidden="1">{#N/A,#N/A,FALSE,"PCOL"}</definedName>
    <definedName name="Gemop" localSheetId="3" hidden="1">{#N/A,#N/A,TRUE,"indice";#N/A,#N/A,TRUE,"indicadores";#N/A,#N/A,TRUE,"comentarios"}</definedName>
    <definedName name="Gemop" localSheetId="5" hidden="1">{#N/A,#N/A,TRUE,"indice";#N/A,#N/A,TRUE,"indicadores";#N/A,#N/A,TRUE,"comentarios"}</definedName>
    <definedName name="Gemop" hidden="1">{#N/A,#N/A,TRUE,"indice";#N/A,#N/A,TRUE,"indicadores";#N/A,#N/A,TRUE,"comentarios"}</definedName>
    <definedName name="GERAL">#REF!</definedName>
    <definedName name="GERENC">#REF!</definedName>
    <definedName name="GERENTE">#REF!</definedName>
    <definedName name="GERMINAÇÃ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MIN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errot" localSheetId="3" hidden="1">{"'Quadro'!$A$4:$BG$78"}</definedName>
    <definedName name="Gerrot" localSheetId="5" hidden="1">{"'Quadro'!$A$4:$BG$78"}</definedName>
    <definedName name="Gerrot" hidden="1">{"'Quadro'!$A$4:$BG$78"}</definedName>
    <definedName name="GERVAL">#N/A</definedName>
    <definedName name="GESTAO">#REF!</definedName>
    <definedName name="getep" localSheetId="3" hidden="1">{#N/A,#N/A,TRUE,"indice";#N/A,#N/A,TRUE,"indicadores";#N/A,#N/A,TRUE,"comentarios"}</definedName>
    <definedName name="getep" localSheetId="5" hidden="1">{#N/A,#N/A,TRUE,"indice";#N/A,#N/A,TRUE,"indicadores";#N/A,#N/A,TRUE,"comentarios"}</definedName>
    <definedName name="getep" hidden="1">{#N/A,#N/A,TRUE,"indice";#N/A,#N/A,TRUE,"indicadores";#N/A,#N/A,TRUE,"comentarios"}</definedName>
    <definedName name="GFD" localSheetId="3" hidden="1">{"'gráf jan00'!$A$1:$AK$41"}</definedName>
    <definedName name="GFD" localSheetId="5" hidden="1">{"'gráf jan00'!$A$1:$AK$41"}</definedName>
    <definedName name="GFD" hidden="1">{"'gráf jan00'!$A$1:$AK$41"}</definedName>
    <definedName name="gfdddf" localSheetId="3" hidden="1">{"'CptDifn'!$AA$32:$AG$32"}</definedName>
    <definedName name="gfdddf" localSheetId="5" hidden="1">{"'CptDifn'!$AA$32:$AG$32"}</definedName>
    <definedName name="gfdddf" hidden="1">{"'CptDifn'!$AA$32:$AG$32"}</definedName>
    <definedName name="gg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ga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gggggggggg" localSheetId="3" hidden="1">{"'Quadro'!$A$4:$BG$78"}</definedName>
    <definedName name="ggggggggggggg" localSheetId="5" hidden="1">{"'Quadro'!$A$4:$BG$78"}</definedName>
    <definedName name="ggggggggggggg" hidden="1">{"'Quadro'!$A$4:$BG$78"}</definedName>
    <definedName name="gggggggggggggg">#REF!</definedName>
    <definedName name="gggggggggggggggggggggggg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ggggggggggggggggggggggggg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ggtggg" localSheetId="3" hidden="1">{#N/A,#N/A,FALSE,"DEF1";#N/A,#N/A,FALSE,"DEF2";#N/A,#N/A,FALSE,"DEF3"}</definedName>
    <definedName name="ggtggg" localSheetId="5" hidden="1">{#N/A,#N/A,FALSE,"DEF1";#N/A,#N/A,FALSE,"DEF2";#N/A,#N/A,FALSE,"DEF3"}</definedName>
    <definedName name="ggtggg" hidden="1">{#N/A,#N/A,FALSE,"DEF1";#N/A,#N/A,FALSE,"DEF2";#N/A,#N/A,FALSE,"DEF3"}</definedName>
    <definedName name="GHFG" localSheetId="3" hidden="1">{"'RR'!$A$2:$E$81"}</definedName>
    <definedName name="GHFG" localSheetId="5" hidden="1">{"'RR'!$A$2:$E$81"}</definedName>
    <definedName name="GHFG" hidden="1">{"'RR'!$A$2:$E$81"}</definedName>
    <definedName name="GHJJKGK" localSheetId="3" hidden="1">{"'gráf jan00'!$A$1:$AK$41"}</definedName>
    <definedName name="GHJJKGK" localSheetId="5" hidden="1">{"'gráf jan00'!$A$1:$AK$41"}</definedName>
    <definedName name="GHJJKGK" hidden="1">{"'gráf jan00'!$A$1:$AK$41"}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deCálc">IFERROR(#REF!/SUMPRODUCT( (#REF!=#REF!)*(#REF!&lt;=#REF!)*((#REF!&gt;=#REF!)+(LEN(#REF!)=0)*(#REF!=#REF!)) ),NA())</definedName>
    <definedName name="graduad">#REF!</definedName>
    <definedName name="GRADUADA">#REF!</definedName>
    <definedName name="graf">#REF!</definedName>
    <definedName name="GRAF_10A" localSheetId="3" hidden="1">{#N/A,#N/A,FALSE,"SITUAÇÃO DIÁRIA ";#N/A,#N/A,FALSE,"7 à 7"}</definedName>
    <definedName name="GRAF_10A" localSheetId="5" hidden="1">{#N/A,#N/A,FALSE,"SITUAÇÃO DIÁRIA ";#N/A,#N/A,FALSE,"7 à 7"}</definedName>
    <definedName name="GRAF_10A" hidden="1">{#N/A,#N/A,FALSE,"SITUAÇÃO DIÁRIA ";#N/A,#N/A,FALSE,"7 à 7"}</definedName>
    <definedName name="GRAF_11A" localSheetId="3" hidden="1">{#N/A,#N/A,FALSE,"SITUAÇÃO DIÁRIA ";#N/A,#N/A,FALSE,"7 à 7"}</definedName>
    <definedName name="GRAF_11A" localSheetId="5" hidden="1">{#N/A,#N/A,FALSE,"SITUAÇÃO DIÁRIA ";#N/A,#N/A,FALSE,"7 à 7"}</definedName>
    <definedName name="GRAF_11A" hidden="1">{#N/A,#N/A,FALSE,"SITUAÇÃO DIÁRIA ";#N/A,#N/A,FALSE,"7 à 7"}</definedName>
    <definedName name="GRAF_12A" localSheetId="3" hidden="1">{#N/A,#N/A,FALSE,"SITUAÇÃO DIÁRIA ";#N/A,#N/A,FALSE,"7 à 7"}</definedName>
    <definedName name="GRAF_12A" localSheetId="5" hidden="1">{#N/A,#N/A,FALSE,"SITUAÇÃO DIÁRIA ";#N/A,#N/A,FALSE,"7 à 7"}</definedName>
    <definedName name="GRAF_12A" hidden="1">{#N/A,#N/A,FALSE,"SITUAÇÃO DIÁRIA ";#N/A,#N/A,FALSE,"7 à 7"}</definedName>
    <definedName name="GRAF_21" localSheetId="3" hidden="1">{#N/A,#N/A,FALSE,"SITUAÇÃO DIÁRIA ";#N/A,#N/A,FALSE,"7 à 7"}</definedName>
    <definedName name="GRAF_21" localSheetId="5" hidden="1">{#N/A,#N/A,FALSE,"SITUAÇÃO DIÁRIA ";#N/A,#N/A,FALSE,"7 à 7"}</definedName>
    <definedName name="GRAF_21" hidden="1">{#N/A,#N/A,FALSE,"SITUAÇÃO DIÁRIA ";#N/A,#N/A,FALSE,"7 à 7"}</definedName>
    <definedName name="graf_3" localSheetId="3" hidden="1">{#N/A,#N/A,FALSE,"SITUAÇÃO DIÁRIA ";#N/A,#N/A,FALSE,"7 à 7"}</definedName>
    <definedName name="graf_3" localSheetId="5" hidden="1">{#N/A,#N/A,FALSE,"SITUAÇÃO DIÁRIA ";#N/A,#N/A,FALSE,"7 à 7"}</definedName>
    <definedName name="graf_3" hidden="1">{#N/A,#N/A,FALSE,"SITUAÇÃO DIÁRIA ";#N/A,#N/A,FALSE,"7 à 7"}</definedName>
    <definedName name="Graf_MOI">#REF!</definedName>
    <definedName name="GRAFICO">#REF!</definedName>
    <definedName name="GRAFICO2">#REF!</definedName>
    <definedName name="GráficoICD" hidden="1">#N/A</definedName>
    <definedName name="Granito">#REF!</definedName>
    <definedName name="granulometria">#REF!</definedName>
    <definedName name="grav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lnm.Recorder">#REF!</definedName>
    <definedName name="grtgert" localSheetId="3" hidden="1">{#N/A,#N/A,TRUE,"indice";#N/A,#N/A,TRUE,"indicadores";#N/A,#N/A,TRUE,"comentarios"}</definedName>
    <definedName name="grtgert" localSheetId="5" hidden="1">{#N/A,#N/A,TRUE,"indice";#N/A,#N/A,TRUE,"indicadores";#N/A,#N/A,TRUE,"comentarios"}</definedName>
    <definedName name="grtgert" hidden="1">{#N/A,#N/A,TRUE,"indice";#N/A,#N/A,TRUE,"indicadores";#N/A,#N/A,TRUE,"comentarios"}</definedName>
    <definedName name="gsdag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FH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tryfj" localSheetId="3" hidden="1">{#N/A,#N/A,TRUE,"Serviços"}</definedName>
    <definedName name="gtryfj" localSheetId="5" hidden="1">{#N/A,#N/A,TRUE,"Serviços"}</definedName>
    <definedName name="gtryfj" hidden="1">{#N/A,#N/A,TRUE,"Serviços"}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pob01Real" localSheetId="3" hidden="1">{#N/A,#N/A,FALSE,"Suprimentos";#N/A,#N/A,FALSE,"Medicina e Segurança";#N/A,#N/A,FALSE,"Administração";#N/A,#N/A,FALSE,"Meio Ambiente";#N/A,#N/A,FALSE,"Operação (Mina)";#N/A,#N/A,FALSE,"Operação (Porto)"}</definedName>
    <definedName name="Gupob01Real" localSheetId="5" hidden="1">{#N/A,#N/A,FALSE,"Suprimentos";#N/A,#N/A,FALSE,"Medicina e Segurança";#N/A,#N/A,FALSE,"Administração";#N/A,#N/A,FALSE,"Meio Ambiente";#N/A,#N/A,FALSE,"Operação (Mina)";#N/A,#N/A,FALSE,"Operação (Porto)"}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urjão" localSheetId="3" hidden="1">{"'gráf jan00'!$A$1:$AK$41"}</definedName>
    <definedName name="Gurjão" localSheetId="5" hidden="1">{"'gráf jan00'!$A$1:$AK$41"}</definedName>
    <definedName name="Gurjão" hidden="1">{"'gráf jan00'!$A$1:$AK$41"}</definedName>
    <definedName name="gvgg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2T">#REF!</definedName>
    <definedName name="H3T">#REF!</definedName>
    <definedName name="HAUAHUAH">#REF!</definedName>
    <definedName name="hbfghfgh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DHDG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DHD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">#REF!</definedName>
    <definedName name="helicoptero">#REF!</definedName>
    <definedName name="HEQ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UNIT">#REF!</definedName>
    <definedName name="HEX">#REF!</definedName>
    <definedName name="hfs" localSheetId="3" hidden="1">{"'gráf jan00'!$A$1:$AK$41"}</definedName>
    <definedName name="hfs" localSheetId="5" hidden="1">{"'gráf jan00'!$A$1:$AK$41"}</definedName>
    <definedName name="hfs" hidden="1">{"'gráf jan00'!$A$1:$AK$41"}</definedName>
    <definedName name="HGH" localSheetId="3" hidden="1">{"'gráf jan00'!$A$1:$AK$41"}</definedName>
    <definedName name="HGH" localSheetId="5" hidden="1">{"'gráf jan00'!$A$1:$AK$41"}</definedName>
    <definedName name="HGH" hidden="1">{"'gráf jan00'!$A$1:$AK$41"}</definedName>
    <definedName name="HGHJ" localSheetId="3" hidden="1">{"'Quadro'!$A$4:$BG$78"}</definedName>
    <definedName name="HGHJ" localSheetId="5" hidden="1">{"'Quadro'!$A$4:$BG$78"}</definedName>
    <definedName name="HGHJ" hidden="1">{"'Quadro'!$A$4:$BG$78"}</definedName>
    <definedName name="HHAJUSTCOL">#REF!</definedName>
    <definedName name="HHCALCCOL">#REF!</definedName>
    <definedName name="HHCALCUL">#REF!</definedName>
    <definedName name="HHDESELE">#REF!</definedName>
    <definedName name="HHDESMEC">#REF!</definedName>
    <definedName name="HHENGELE">#REF!</definedName>
    <definedName name="HHENGMEC">#REF!</definedName>
    <definedName name="HHFUN1">#REF!</definedName>
    <definedName name="HHFUN10">#REF!</definedName>
    <definedName name="HHFUN11">#REF!</definedName>
    <definedName name="HHFUN13">#REF!</definedName>
    <definedName name="HHFUN16">#REF!</definedName>
    <definedName name="HHFUN17">#REF!</definedName>
    <definedName name="HHFUN21">#REF!</definedName>
    <definedName name="HHFUN23">#REF!</definedName>
    <definedName name="HHFUN24">#REF!</definedName>
    <definedName name="HHFUN28">#REF!</definedName>
    <definedName name="HHFUN29">#REF!</definedName>
    <definedName name="HHFUN32">#REF!</definedName>
    <definedName name="HHFUN35">#REF!</definedName>
    <definedName name="HHFUN36">#REF!</definedName>
    <definedName name="HHFUN37">#REF!</definedName>
    <definedName name="HHFUN41">#REF!</definedName>
    <definedName name="HHFUN42">#REF!</definedName>
    <definedName name="HHFUN43">#REF!</definedName>
    <definedName name="HHFUN44">#REF!</definedName>
    <definedName name="HHFUN46">#REF!</definedName>
    <definedName name="HHFUN47">#REF!</definedName>
    <definedName name="HHFUN49">#REF!</definedName>
    <definedName name="HHFUN50">#REF!</definedName>
    <definedName name="HHFUN55">#REF!</definedName>
    <definedName name="HHFUN60">#REF!</definedName>
    <definedName name="HHFUN62">#REF!</definedName>
    <definedName name="HHFUN65">#REF!</definedName>
    <definedName name="HHFUN66">#REF!</definedName>
    <definedName name="HHFUN68">#REF!</definedName>
    <definedName name="HHFUN8">#REF!</definedName>
    <definedName name="hhgfgfg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h">#REF!</definedName>
    <definedName name="hhhhh">#REF!</definedName>
    <definedName name="HHMONELE">#REF!</definedName>
    <definedName name="HHMONMEC">#REF!</definedName>
    <definedName name="hho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HOR">#REF!</definedName>
    <definedName name="HHPERELMECCAL">#N/A</definedName>
    <definedName name="HHPROELE">#REF!</definedName>
    <definedName name="HHPROMEC">#REF!</definedName>
    <definedName name="HHTOTCAL">#N/A</definedName>
    <definedName name="HHTOTLIN">#N/A</definedName>
    <definedName name="HHTOTRES">#N/A</definedName>
    <definedName name="hidrosemeadu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drosemeadu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NTRA">#REF!</definedName>
    <definedName name="HISPANOBRAS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IS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rico_Cronograma">#REF!</definedName>
    <definedName name="Historico_PrevistoAcumulado">#REF!</definedName>
    <definedName name="Historico_PrevistoSemanal">#REF!</definedName>
    <definedName name="Historico_RealizadoAcumulado">#REF!</definedName>
    <definedName name="Historico_RealizadoSemanal">#REF!</definedName>
    <definedName name="Historico_Semana">#REF!</definedName>
    <definedName name="HJF" localSheetId="3" hidden="1">{"'RR'!$A$2:$E$81"}</definedName>
    <definedName name="HJF" localSheetId="5" hidden="1">{"'RR'!$A$2:$E$81"}</definedName>
    <definedName name="HJF" hidden="1">{"'RR'!$A$2:$E$81"}</definedName>
    <definedName name="hjkkh">#REF!</definedName>
    <definedName name="hlç" localSheetId="3" hidden="1">{"'Quadro'!$A$4:$BG$78"}</definedName>
    <definedName name="hlç" localSheetId="5" hidden="1">{"'Quadro'!$A$4:$BG$78"}</definedName>
    <definedName name="hlç" hidden="1">{"'Quadro'!$A$4:$BG$78"}</definedName>
    <definedName name="hmes">#REF!</definedName>
    <definedName name="HN">#REF!</definedName>
    <definedName name="HNL">#REF!</definedName>
    <definedName name="HOTEL">#REF!</definedName>
    <definedName name="hrfghre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RN">#REF!</definedName>
    <definedName name="HTM">#REF!</definedName>
    <definedName name="htmal_control3" localSheetId="3" hidden="1">{"'RR'!$A$2:$E$81"}</definedName>
    <definedName name="htmal_control3" localSheetId="5" hidden="1">{"'RR'!$A$2:$E$81"}</definedName>
    <definedName name="htmal_control3" hidden="1">{"'RR'!$A$2:$E$81"}</definedName>
    <definedName name="htmal_control4" localSheetId="3" hidden="1">{"'RR'!$A$2:$E$81"}</definedName>
    <definedName name="htmal_control4" localSheetId="5" hidden="1">{"'RR'!$A$2:$E$81"}</definedName>
    <definedName name="htmal_control4" hidden="1">{"'RR'!$A$2:$E$81"}</definedName>
    <definedName name="htmal_control5" localSheetId="3" hidden="1">{"'RR'!$A$2:$E$81"}</definedName>
    <definedName name="htmal_control5" localSheetId="5" hidden="1">{"'RR'!$A$2:$E$81"}</definedName>
    <definedName name="htmal_control5" hidden="1">{"'RR'!$A$2:$E$81"}</definedName>
    <definedName name="htmal_control6" localSheetId="3" hidden="1">{"'RR'!$A$2:$E$81"}</definedName>
    <definedName name="htmal_control6" localSheetId="5" hidden="1">{"'RR'!$A$2:$E$81"}</definedName>
    <definedName name="htmal_control6" hidden="1">{"'RR'!$A$2:$E$81"}</definedName>
    <definedName name="htmal_control7" localSheetId="3" hidden="1">{"'RR'!$A$2:$E$81"}</definedName>
    <definedName name="htmal_control7" localSheetId="5" hidden="1">{"'RR'!$A$2:$E$81"}</definedName>
    <definedName name="htmal_control7" hidden="1">{"'RR'!$A$2:$E$81"}</definedName>
    <definedName name="htmal_control8" localSheetId="3" hidden="1">{"'RR'!$A$2:$E$81"}</definedName>
    <definedName name="htmal_control8" localSheetId="5" hidden="1">{"'RR'!$A$2:$E$81"}</definedName>
    <definedName name="htmal_control8" hidden="1">{"'RR'!$A$2:$E$81"}</definedName>
    <definedName name="HTML_C" localSheetId="3" hidden="1">{"'RR'!$A$2:$E$81"}</definedName>
    <definedName name="HTML_C" localSheetId="5" hidden="1">{"'RR'!$A$2:$E$81"}</definedName>
    <definedName name="HTML_C" hidden="1">{"'RR'!$A$2:$E$81"}</definedName>
    <definedName name="HTML_CodePage" hidden="1">1252</definedName>
    <definedName name="HTML_Control" localSheetId="3" hidden="1">{"'Dados Gerais'!$A$1:$M$37"}</definedName>
    <definedName name="HTML_Control" localSheetId="5" hidden="1">{"'Dados Gerais'!$A$1:$M$37"}</definedName>
    <definedName name="HTML_Control" hidden="1">{"'Dados Gerais'!$A$1:$M$37"}</definedName>
    <definedName name="HTML_Control_2" localSheetId="3" hidden="1">{"'ReceitaLiquidaME'!$AA$25:$AN$32"}</definedName>
    <definedName name="HTML_Control_2" localSheetId="5" hidden="1">{"'ReceitaLiquidaME'!$AA$25:$AN$32"}</definedName>
    <definedName name="HTML_Control_2" hidden="1">{"'ReceitaLiquidaME'!$AA$25:$AN$32"}</definedName>
    <definedName name="html_control10" localSheetId="3" hidden="1">{"'RR'!$A$2:$E$81"}</definedName>
    <definedName name="html_control10" localSheetId="5" hidden="1">{"'RR'!$A$2:$E$81"}</definedName>
    <definedName name="html_control10" hidden="1">{"'RR'!$A$2:$E$81"}</definedName>
    <definedName name="html_control11" localSheetId="3" hidden="1">{"'RR'!$A$2:$E$81"}</definedName>
    <definedName name="html_control11" localSheetId="5" hidden="1">{"'RR'!$A$2:$E$81"}</definedName>
    <definedName name="html_control11" hidden="1">{"'RR'!$A$2:$E$81"}</definedName>
    <definedName name="html_control12" localSheetId="3" hidden="1">{"'RR'!$A$2:$E$81"}</definedName>
    <definedName name="html_control12" localSheetId="5" hidden="1">{"'RR'!$A$2:$E$81"}</definedName>
    <definedName name="html_control12" hidden="1">{"'RR'!$A$2:$E$81"}</definedName>
    <definedName name="html_control13" localSheetId="3" hidden="1">{"'RR'!$A$2:$E$81"}</definedName>
    <definedName name="html_control13" localSheetId="5" hidden="1">{"'RR'!$A$2:$E$81"}</definedName>
    <definedName name="html_control13" hidden="1">{"'RR'!$A$2:$E$81"}</definedName>
    <definedName name="html_control14" localSheetId="3" hidden="1">{"'RR'!$A$2:$E$81"}</definedName>
    <definedName name="html_control14" localSheetId="5" hidden="1">{"'RR'!$A$2:$E$81"}</definedName>
    <definedName name="html_control14" hidden="1">{"'RR'!$A$2:$E$81"}</definedName>
    <definedName name="html_control2" localSheetId="3" hidden="1">{"'RR'!$A$2:$E$81"}</definedName>
    <definedName name="html_control2" localSheetId="5" hidden="1">{"'RR'!$A$2:$E$81"}</definedName>
    <definedName name="html_control2" hidden="1">{"'RR'!$A$2:$E$81"}</definedName>
    <definedName name="HTML_CONTROL20" localSheetId="3" hidden="1">{"'RR'!$A$2:$E$81"}</definedName>
    <definedName name="HTML_CONTROL20" localSheetId="5" hidden="1">{"'RR'!$A$2:$E$81"}</definedName>
    <definedName name="HTML_CONTROL20" hidden="1">{"'RR'!$A$2:$E$81"}</definedName>
    <definedName name="HTML_CONTROL21" localSheetId="3" hidden="1">{"'RR'!$A$2:$E$81"}</definedName>
    <definedName name="HTML_CONTROL21" localSheetId="5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"DSSU_OUT"</definedName>
    <definedName name="HTML_LastUpdate" hidden="1">"12/02/2003"</definedName>
    <definedName name="HTML_LineAfter" hidden="1">FALSE</definedName>
    <definedName name="HTML_LineBefore" hidden="1">FALSE</definedName>
    <definedName name="HTML_Name" hidden="1">"Aiin"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"H:\wwwroot\publico\distribuicao\ddem\avaliacao\2003\Graficos\fig\MeuHTML.htm"</definedName>
    <definedName name="HTML_PathTemplate" hidden="1">"C:\WINDOWS\Desktop\HTMLTemp.htm"</definedName>
    <definedName name="HTML_Title" hidden="1">"RELATORIO_GRAFICO"</definedName>
    <definedName name="HTN">#REF!</definedName>
    <definedName name="HU" localSheetId="3" hidden="1">{"'gráf jan00'!$A$1:$AK$41"}</definedName>
    <definedName name="HU" localSheetId="5" hidden="1">{"'gráf jan00'!$A$1:$AK$41"}</definedName>
    <definedName name="HU" hidden="1">{"'gráf jan00'!$A$1:$AK$41"}</definedName>
    <definedName name="hvac">#REF!</definedName>
    <definedName name="I" localSheetId="3" hidden="1">{"'Dados Gerais'!$A$1:$M$37"}</definedName>
    <definedName name="I" localSheetId="5" hidden="1">{"'Dados Gerais'!$A$1:$M$37"}</definedName>
    <definedName name="I" hidden="1">{"'Dados Gerais'!$A$1:$M$37"}</definedName>
    <definedName name="IdentCausas_pareto" localSheetId="3" hidden="1">{"'RR'!$A$2:$E$81"}</definedName>
    <definedName name="IdentCausas_pareto" localSheetId="5" hidden="1">{"'RR'!$A$2:$E$81"}</definedName>
    <definedName name="IdentCausas_pareto" hidden="1">{"'RR'!$A$2:$E$81"}</definedName>
    <definedName name="II">#REF!</definedName>
    <definedName name="III">#REF!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m">#REF!</definedName>
    <definedName name="immmm" localSheetId="3" hidden="1">{#N/A,#N/A,FALSE,"DEF1";#N/A,#N/A,FALSE,"DEF2";#N/A,#N/A,FALSE,"DEF3"}</definedName>
    <definedName name="immmm" localSheetId="5" hidden="1">{#N/A,#N/A,FALSE,"DEF1";#N/A,#N/A,FALSE,"DEF2";#N/A,#N/A,FALSE,"DEF3"}</definedName>
    <definedName name="immmm" hidden="1">{#N/A,#N/A,FALSE,"DEF1";#N/A,#N/A,FALSE,"DEF2";#N/A,#N/A,FALSE,"DEF3"}</definedName>
    <definedName name="IMP" hidden="1">#REF!</definedName>
    <definedName name="IMPCRON1">#N/A</definedName>
    <definedName name="IMPOSTO">#REF!</definedName>
    <definedName name="impressão">#REF!</definedName>
    <definedName name="IMPRESSORA">#REF!</definedName>
    <definedName name="IMPRIMIR">#N/A</definedName>
    <definedName name="Imprimir_títulos_IM">#REF!</definedName>
    <definedName name="in">#REF!</definedName>
    <definedName name="INCIVIL">#N/A</definedName>
    <definedName name="IND">#REF!</definedName>
    <definedName name="INDICE">#REF!</definedName>
    <definedName name="INDICE___0">#REF!</definedName>
    <definedName name="INDICES">#REF!</definedName>
    <definedName name="INDICES2">#REF!</definedName>
    <definedName name="INDSEC">#REF!</definedName>
    <definedName name="INDSECAJUSTCOL">#REF!</definedName>
    <definedName name="inf" localSheetId="3" hidden="1">{"'Dados Gerais'!$A$1:$M$37"}</definedName>
    <definedName name="inf" localSheetId="5" hidden="1">{"'Dados Gerais'!$A$1:$M$37"}</definedName>
    <definedName name="inf" hidden="1">{"'Dados Gerais'!$A$1:$M$37"}</definedName>
    <definedName name="ingredients">#REF!</definedName>
    <definedName name="InhaltsvezSUMMEN">#REF!</definedName>
    <definedName name="INICAL">#N/A</definedName>
    <definedName name="INICDISC">#N/A</definedName>
    <definedName name="INICIO">#N/A</definedName>
    <definedName name="IníciodaSemana">#REF!</definedName>
    <definedName name="INICIVIL">#N/A</definedName>
    <definedName name="INICPRAZ">#REF!</definedName>
    <definedName name="INIEI">#N/A</definedName>
    <definedName name="INIEM">#N/A</definedName>
    <definedName name="INIGER">#N/A</definedName>
    <definedName name="INIJP">#N/A</definedName>
    <definedName name="INIMEC">#N/A</definedName>
    <definedName name="INITUB">#N/A</definedName>
    <definedName name="INSALgrau_percentual">#REF!</definedName>
    <definedName name="INSALUBRIDADE">#REF!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ESP">#REF!</definedName>
    <definedName name="INSTESP___0">#REF!</definedName>
    <definedName name="insul">#REF!</definedName>
    <definedName name="INSUMOS">#REF!</definedName>
    <definedName name="int" localSheetId="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localSheetId="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INTRA">#REF!</definedName>
    <definedName name="Intran" localSheetId="3" hidden="1">{"'teste'!$B$2:$R$49"}</definedName>
    <definedName name="Intran" localSheetId="5" hidden="1">{"'teste'!$B$2:$R$49"}</definedName>
    <definedName name="Intran" hidden="1">{"'teste'!$B$2:$R$49"}</definedName>
    <definedName name="IntroPrintArea" hidden="1">#REF!</definedName>
    <definedName name="INV_ECON_MENSAL" localSheetId="3" hidden="1">{#N/A,#N/A,FALSE,"DEF1";#N/A,#N/A,FALSE,"DEF2";#N/A,#N/A,FALSE,"DEF3"}</definedName>
    <definedName name="INV_ECON_MENSAL" localSheetId="5" hidden="1">{#N/A,#N/A,FALSE,"DEF1";#N/A,#N/A,FALSE,"DEF2";#N/A,#N/A,FALSE,"DEF3"}</definedName>
    <definedName name="INV_ECON_MENSAL" hidden="1">{#N/A,#N/A,FALSE,"DEF1";#N/A,#N/A,FALSE,"DEF2";#N/A,#N/A,FALSE,"DEF3"}</definedName>
    <definedName name="inv_financ_Mensal_desemb" localSheetId="3" hidden="1">{#N/A,#N/A,FALSE,"DEF1";#N/A,#N/A,FALSE,"DEF2";#N/A,#N/A,FALSE,"DEF3"}</definedName>
    <definedName name="inv_financ_Mensal_desemb" localSheetId="5" hidden="1">{#N/A,#N/A,FALSE,"DEF1";#N/A,#N/A,FALSE,"DEF2";#N/A,#N/A,FALSE,"DEF3"}</definedName>
    <definedName name="inv_financ_Mensal_desemb" hidden="1">{#N/A,#N/A,FALSE,"DEF1";#N/A,#N/A,FALSE,"DEF2";#N/A,#N/A,FALSE,"DEF3"}</definedName>
    <definedName name="invest">#REF!</definedName>
    <definedName name="InvJustificativas6" localSheetId="3" hidden="1">{"'REL CUSTODIF'!$B$1:$H$72"}</definedName>
    <definedName name="InvJustificativas6" localSheetId="5" hidden="1">{"'REL CUSTODIF'!$B$1:$H$72"}</definedName>
    <definedName name="InvJustificativas6" hidden="1">{"'REL CUSTODIF'!$B$1:$H$72"}</definedName>
    <definedName name="InvJustificativas9" localSheetId="3" hidden="1">{"'REL CUSTODIF'!$B$1:$H$72"}</definedName>
    <definedName name="InvJustificativas9" localSheetId="5" hidden="1">{"'REL CUSTODIF'!$B$1:$H$72"}</definedName>
    <definedName name="InvJustificativas9" hidden="1">{"'REL CUSTODIF'!$B$1:$H$72"}</definedName>
    <definedName name="IO">#REF!</definedName>
    <definedName name="IPIR">#REF!</definedName>
    <definedName name="IRP">#REF!</definedName>
    <definedName name="IRRF">#REF!</definedName>
    <definedName name="ISS">#REF!</definedName>
    <definedName name="ISS___0">#REF!</definedName>
    <definedName name="ISS___alíquota_de_Curitiba">#REF!</definedName>
    <definedName name="ITEM">#REF!</definedName>
    <definedName name="item_1">#REF!</definedName>
    <definedName name="Item_2">#REF!</definedName>
    <definedName name="item1">#REF!</definedName>
    <definedName name="ITEMFIS">#N/A</definedName>
    <definedName name="IUO" localSheetId="3" hidden="1">{"'Quadro'!$A$4:$BG$78"}</definedName>
    <definedName name="IUO" localSheetId="5" hidden="1">{"'Quadro'!$A$4:$BG$78"}</definedName>
    <definedName name="IUO" hidden="1">{"'Quadro'!$A$4:$BG$78"}</definedName>
    <definedName name="IV">#REF!</definedName>
    <definedName name="J">#N/A</definedName>
    <definedName name="Jan" localSheetId="3">'Time line '!DaysAndWeeks+DATE([0]!CalendárioYear,1,1)-WEEKDAY(DATE([0]!CalendárioYear,1,1),'Time line '!OpçãodeDiadaSemana)+1</definedName>
    <definedName name="Jan" localSheetId="5">'Time line  (2)'!DaysAndWeeks+DATE([0]!CalendárioYear,1,1)-WEEKDAY(DATE([0]!CalendárioYear,1,1),'Time line  (2)'!OpçãodeDiadaSemana)+1</definedName>
    <definedName name="Jan">DaysAndWeeks+DATE(CalendárioYear,1,1)-WEEKDAY(DATE(CalendárioYear,1,1),OpçãodeDiadaSemana)+1</definedName>
    <definedName name="JANEIRO2003" localSheetId="3" hidden="1">{#N/A,#N/A,TRUE,"Serviços"}</definedName>
    <definedName name="JANEIRO2003" localSheetId="5" hidden="1">{#N/A,#N/A,TRUE,"Serviços"}</definedName>
    <definedName name="JANEIRO2003" hidden="1">{#N/A,#N/A,TRUE,"Serviços"}</definedName>
    <definedName name="JanelaDataInício">#REF!</definedName>
    <definedName name="jçkj" localSheetId="3" hidden="1">{"'CptDifn'!$AA$32:$AG$32"}</definedName>
    <definedName name="jçkj" localSheetId="5" hidden="1">{"'CptDifn'!$AA$32:$AG$32"}</definedName>
    <definedName name="jçkj" hidden="1">{"'CptDifn'!$AA$32:$AG$32"}</definedName>
    <definedName name="JELE">#REF!</definedName>
    <definedName name="jjj">#REF!</definedName>
    <definedName name="jjjj">#REF!</definedName>
    <definedName name="jk">#REF!</definedName>
    <definedName name="JMEC">#REF!</definedName>
    <definedName name="joca">#REF!</definedName>
    <definedName name="jornadaeng">#REF!</definedName>
    <definedName name="JORNADAMES">#REF!</definedName>
    <definedName name="JORNADAMESESP">#REF!</definedName>
    <definedName name="JP">#REF!</definedName>
    <definedName name="jryhjtry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ca">#REF!</definedName>
    <definedName name="jujk" localSheetId="3" hidden="1">{#N/A,#N/A,FALSE,"PCOL"}</definedName>
    <definedName name="jujk" localSheetId="5" hidden="1">{#N/A,#N/A,FALSE,"PCOL"}</definedName>
    <definedName name="jujk" hidden="1">{#N/A,#N/A,FALSE,"PCOL"}</definedName>
    <definedName name="Jul" localSheetId="3">'Time line '!DaysAndWeeks+DATE([0]!CalendárioYear,7,1)-WEEKDAY(DATE([0]!CalendárioYear,7,1),'Time line '!OpçãodeDiadaSemana)+1</definedName>
    <definedName name="Jul" localSheetId="5">'Time line  (2)'!DaysAndWeeks+DATE([0]!CalendárioYear,7,1)-WEEKDAY(DATE([0]!CalendárioYear,7,1),'Time line  (2)'!OpçãodeDiadaSemana)+1</definedName>
    <definedName name="Jul">DaysAndWeeks+DATE(CalendárioYear,7,1)-WEEKDAY(DATE(CalendárioYear,7,1),OpçãodeDiadaSemana)+1</definedName>
    <definedName name="Julio" localSheetId="3" hidden="1">{"'CptDifn'!$AA$32:$AG$32"}</definedName>
    <definedName name="Julio" localSheetId="5" hidden="1">{"'CptDifn'!$AA$32:$AG$32"}</definedName>
    <definedName name="Julio" hidden="1">{"'CptDifn'!$AA$32:$AG$32"}</definedName>
    <definedName name="Jun" localSheetId="3">'Time line '!DaysAndWeeks+DATE([0]!CalendárioYear,6,1)-WEEKDAY(DATE([0]!CalendárioYear,6,1),'Time line '!OpçãodeDiadaSemana)+1</definedName>
    <definedName name="Jun" localSheetId="5">'Time line  (2)'!DaysAndWeeks+DATE([0]!CalendárioYear,6,1)-WEEKDAY(DATE([0]!CalendárioYear,6,1),'Time line  (2)'!OpçãodeDiadaSemana)+1</definedName>
    <definedName name="Jun">DaysAndWeeks+DATE(CalendárioYear,6,1)-WEEKDAY(DATE(CalendárioYear,6,1),OpçãodeDiadaSemana)+1</definedName>
    <definedName name="Jun_03">#REF!</definedName>
    <definedName name="jythjty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>#REF!</definedName>
    <definedName name="khtykfh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L">#REF!</definedName>
    <definedName name="kiuy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hgjk" localSheetId="3" hidden="1">{"'gráf jan00'!$A$1:$AK$41"}</definedName>
    <definedName name="kjhgjk" localSheetId="5" hidden="1">{"'gráf jan00'!$A$1:$AK$41"}</definedName>
    <definedName name="kjhgjk" hidden="1">{"'gráf jan00'!$A$1:$AK$41"}</definedName>
    <definedName name="kk">#REF!</definedName>
    <definedName name="kkk">#REF!</definedName>
    <definedName name="kkkk" localSheetId="3" hidden="1">{#N/A,#N/A,FALSE,"PCOL"}</definedName>
    <definedName name="kkkk" localSheetId="5" hidden="1">{#N/A,#N/A,FALSE,"PCOL"}</definedName>
    <definedName name="kkkk" hidden="1">{#N/A,#N/A,FALSE,"PCOL"}</definedName>
    <definedName name="KKKKK">#REF!</definedName>
    <definedName name="KM">#REF!</definedName>
    <definedName name="ko" localSheetId="3" hidden="1">{#N/A,#N/A,FALSE,"PCOL"}</definedName>
    <definedName name="ko" localSheetId="5" hidden="1">{#N/A,#N/A,FALSE,"PCOL"}</definedName>
    <definedName name="ko" hidden="1">{#N/A,#N/A,FALSE,"PCOL"}</definedName>
    <definedName name="KTABEQ">#N/A</definedName>
    <definedName name="KUB">#REF!</definedName>
    <definedName name="KUBADENSAD">#REF!</definedName>
    <definedName name="KUBDECANT">#REF!</definedName>
    <definedName name="kubsub">#REF!</definedName>
    <definedName name="kubus">#REF!</definedName>
    <definedName name="L_">#REF!</definedName>
    <definedName name="LA">#REF!</definedName>
    <definedName name="lab" localSheetId="3" hidden="1">{#N/A,#N/A,TRUE,"Serviços"}</definedName>
    <definedName name="lab" localSheetId="5" hidden="1">{#N/A,#N/A,TRUE,"Serviços"}</definedName>
    <definedName name="lab" hidden="1">{#N/A,#N/A,TRUE,"Serviços"}</definedName>
    <definedName name="LADO">#REF!</definedName>
    <definedName name="LAE">#REF!</definedName>
    <definedName name="LALA">#REF!</definedName>
    <definedName name="landscp">#REF!</definedName>
    <definedName name="LAPEL" localSheetId="3" hidden="1">{"'RR'!$A$2:$E$81"}</definedName>
    <definedName name="LAPEL" localSheetId="5" hidden="1">{"'RR'!$A$2:$E$81"}</definedName>
    <definedName name="LAPEL" hidden="1">{"'RR'!$A$2:$E$81"}</definedName>
    <definedName name="LARANJEIRAS">#REF!</definedName>
    <definedName name="LARG">#REF!</definedName>
    <definedName name="LarguraCanteiro">#REF!</definedName>
    <definedName name="LB">#REF!</definedName>
    <definedName name="LCV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CV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D">#REF!</definedName>
    <definedName name="LE">#REF!</definedName>
    <definedName name="legal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ga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EIS">#REF!</definedName>
    <definedName name="LEIS___0">#REF!</definedName>
    <definedName name="leo" localSheetId="3" hidden="1">{"'CptDifn'!$AA$32:$AG$32"}</definedName>
    <definedName name="leo" localSheetId="5" hidden="1">{"'CptDifn'!$AA$32:$AG$32"}</definedName>
    <definedName name="leo" hidden="1">{"'CptDifn'!$AA$32:$AG$32"}</definedName>
    <definedName name="leonardo" localSheetId="3" hidden="1">{"'gráf jan00'!$A$1:$AK$41"}</definedName>
    <definedName name="leonardo" localSheetId="5" hidden="1">{"'gráf jan00'!$A$1:$AK$41"}</definedName>
    <definedName name="leonardo" hidden="1">{"'gráf jan00'!$A$1:$AK$41"}</definedName>
    <definedName name="lest">#REF!</definedName>
    <definedName name="let" hidden="1">"Quadro Logistico Maio"</definedName>
    <definedName name="LI">#REF!</definedName>
    <definedName name="LIA">#REF!</definedName>
    <definedName name="liam">#REF!</definedName>
    <definedName name="Liata">#REF!</definedName>
    <definedName name="LIB">#REF!</definedName>
    <definedName name="light">#REF!</definedName>
    <definedName name="LII">#REF!</definedName>
    <definedName name="LIII">#REF!</definedName>
    <definedName name="lili">#REF!</definedName>
    <definedName name="LILIAN">#REF!</definedName>
    <definedName name="lilyan">#REF!</definedName>
    <definedName name="lima">#REF!</definedName>
    <definedName name="limcount" hidden="1">1</definedName>
    <definedName name="LIMPA">#N/A</definedName>
    <definedName name="LIMPACRECEQUIP">#REF!</definedName>
    <definedName name="LIMPARDADOS">#REF!</definedName>
    <definedName name="LIMPATELAS">#N/A</definedName>
    <definedName name="Lin_CCT">#REF!</definedName>
    <definedName name="Lin_Conta">#REF!</definedName>
    <definedName name="Lin_Conta_Dtl">#REF!</definedName>
    <definedName name="Lincoln" localSheetId="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localSheetId="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coln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LINE">#N/A</definedName>
    <definedName name="LINHA">#REF!</definedName>
    <definedName name="LINHA_INÍCIO">#REF!</definedName>
    <definedName name="LINHA130">#REF!</definedName>
    <definedName name="Linhas">#REF!</definedName>
    <definedName name="Lista">#REF!</definedName>
    <definedName name="LISTA.">#REF!</definedName>
    <definedName name="Lista_Atual">#REF!</definedName>
    <definedName name="Lista_Tags">#REF!</definedName>
    <definedName name="ListaAtual">#REF!</definedName>
    <definedName name="listaeq">#REF!</definedName>
    <definedName name="ListaFim">#REF!</definedName>
    <definedName name="ListaFotos">OFFSET(#REF!,1,0,COUNTA(#REF!)-1,1)</definedName>
    <definedName name="listamo">#REF!</definedName>
    <definedName name="LIV">#REF!</definedName>
    <definedName name="LIX">#REF!</definedName>
    <definedName name="lix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J" localSheetId="3" hidden="1">{"'Quadro'!$A$4:$BG$78"}</definedName>
    <definedName name="LKJ" localSheetId="5" hidden="1">{"'Quadro'!$A$4:$BG$78"}</definedName>
    <definedName name="LKJ" hidden="1">{"'Quadro'!$A$4:$BG$78"}</definedName>
    <definedName name="LL">#N/A</definedName>
    <definedName name="LLL">#REF!</definedName>
    <definedName name="lllllllllllllllllllllllllllllllllllll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llllllllllllllllllllllllllllllllllll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oam">#REF!</definedName>
    <definedName name="LocaçãoVeículo">#REF!</definedName>
    <definedName name="LOCAL" localSheetId="3" hidden="1">{"'gráf jan00'!$A$1:$AK$41"}</definedName>
    <definedName name="LOCAL" localSheetId="5" hidden="1">{"'gráf jan00'!$A$1:$AK$41"}</definedName>
    <definedName name="LOCAL" hidden="1">{"'gráf jan00'!$A$1:$AK$41"}</definedName>
    <definedName name="LOCALBASE">#REF!</definedName>
    <definedName name="lolo">#REF!</definedName>
    <definedName name="lote">#REF!</definedName>
    <definedName name="LoteBonito2" localSheetId="3" hidden="1">{"'Resumo2'!$B$2:$J$23"}</definedName>
    <definedName name="LoteBonito2" localSheetId="5" hidden="1">{"'Resumo2'!$B$2:$J$23"}</definedName>
    <definedName name="LoteBonito2" hidden="1">{"'Resumo2'!$B$2:$J$23"}</definedName>
    <definedName name="lpo">#REF!*2*9/1.23</definedName>
    <definedName name="LRANJA">#REF!</definedName>
    <definedName name="LS">#REF!</definedName>
    <definedName name="LU" localSheetId="3" hidden="1">{"'gráf jan00'!$A$1:$AK$41"}</definedName>
    <definedName name="LU" localSheetId="5" hidden="1">{"'gráf jan00'!$A$1:$AK$41"}</definedName>
    <definedName name="LU" hidden="1">{"'gráf jan00'!$A$1:$AK$41"}</definedName>
    <definedName name="luana">#REF!</definedName>
    <definedName name="lucia">#REF!</definedName>
    <definedName name="LUCRO">#REF!</definedName>
    <definedName name="LUCRO___0">#REF!</definedName>
    <definedName name="luis" localSheetId="3" hidden="1">{"'Plan1 (2)'!$A$5:$F$63"}</definedName>
    <definedName name="luis" localSheetId="5" hidden="1">{"'Plan1 (2)'!$A$5:$F$63"}</definedName>
    <definedName name="luis" hidden="1">{"'Plan1 (2)'!$A$5:$F$63"}</definedName>
    <definedName name="lulu">#REF!</definedName>
    <definedName name="LUP">#N/A</definedName>
    <definedName name="LUPENT">#N/A</definedName>
    <definedName name="LUSI" localSheetId="3" hidden="1">{#N/A,#N/A,FALSE,"ET-CAPA";#N/A,#N/A,FALSE,"ET-PAG1";#N/A,#N/A,FALSE,"ET-PAG2";#N/A,#N/A,FALSE,"ET-PAG3";#N/A,#N/A,FALSE,"ET-PAG4";#N/A,#N/A,FALSE,"ET-PAG5"}</definedName>
    <definedName name="LUSI" localSheetId="5" hidden="1">{#N/A,#N/A,FALSE,"ET-CAPA";#N/A,#N/A,FALSE,"ET-PAG1";#N/A,#N/A,FALSE,"ET-PAG2";#N/A,#N/A,FALSE,"ET-PAG3";#N/A,#N/A,FALSE,"ET-PAG4";#N/A,#N/A,FALSE,"ET-PAG5"}</definedName>
    <definedName name="LUSI" hidden="1">{#N/A,#N/A,FALSE,"ET-CAPA";#N/A,#N/A,FALSE,"ET-PAG1";#N/A,#N/A,FALSE,"ET-PAG2";#N/A,#N/A,FALSE,"ET-PAG3";#N/A,#N/A,FALSE,"ET-PAG4";#N/A,#N/A,FALSE,"ET-PAG5"}</definedName>
    <definedName name="LUV">#REF!</definedName>
    <definedName name="LV">#REF!</definedName>
    <definedName name="LVI">#REF!</definedName>
    <definedName name="LVII">#REF!</definedName>
    <definedName name="LVIII">#REF!</definedName>
    <definedName name="LXX">#REF!</definedName>
    <definedName name="LXXI">#REF!</definedName>
    <definedName name="LXXII">#REF!</definedName>
    <definedName name="LXXIII">#REF!</definedName>
    <definedName name="LXXIV">#REF!</definedName>
    <definedName name="LXXIX">#REF!</definedName>
    <definedName name="LXXV">#REF!</definedName>
    <definedName name="LXXVI">#REF!</definedName>
    <definedName name="LXXVII">#REF!</definedName>
    <definedName name="LXXVIII">#REF!</definedName>
    <definedName name="LXXX">#REF!</definedName>
    <definedName name="LXXXI">#REF!</definedName>
    <definedName name="LXXXII">#REF!</definedName>
    <definedName name="LXXXIII">#REF!</definedName>
    <definedName name="LXXXIV">#REF!</definedName>
    <definedName name="LXXXV">#REF!</definedName>
    <definedName name="M">#REF!</definedName>
    <definedName name="M2T">#REF!</definedName>
    <definedName name="MADEIRA">#REF!</definedName>
    <definedName name="MADEIRA_1">#REF!</definedName>
    <definedName name="MADEIRA_1_2">#REF!</definedName>
    <definedName name="MADEIRA_1_3">#REF!</definedName>
    <definedName name="MADEIRA_2">#REF!</definedName>
    <definedName name="MADEIRA_3">#REF!</definedName>
    <definedName name="MADEIRA_4">#REF!</definedName>
    <definedName name="MAINERROR">#REF!</definedName>
    <definedName name="Maio" localSheetId="3">'Time line '!DaysAndWeeks+DATE([0]!CalendárioYear,5,1)-WEEKDAY(DATE([0]!CalendárioYear,5,1),'Time line '!OpçãodeDiadaSemana)+1</definedName>
    <definedName name="Maio" localSheetId="5">'Time line  (2)'!DaysAndWeeks+DATE([0]!CalendárioYear,5,1)-WEEKDAY(DATE([0]!CalendárioYear,5,1),'Time line  (2)'!OpçãodeDiadaSemana)+1</definedName>
    <definedName name="Maio">DaysAndWeeks+DATE(CalendárioYear,5,1)-WEEKDAY(DATE(CalendárioYear,5,1),OpçãodeDiadaSemana)+1</definedName>
    <definedName name="man" localSheetId="3" hidden="1">{"'gráf jan00'!$A$1:$AK$41"}</definedName>
    <definedName name="man" localSheetId="5" hidden="1">{"'gráf jan00'!$A$1:$AK$41"}</definedName>
    <definedName name="man" hidden="1">{"'gráf jan00'!$A$1:$AK$41"}</definedName>
    <definedName name="Manoel" localSheetId="3" hidden="1">{"'Quadro'!$A$4:$BG$78"}</definedName>
    <definedName name="Manoel" localSheetId="5" hidden="1">{"'Quadro'!$A$4:$BG$78"}</definedName>
    <definedName name="Manoel" hidden="1">{"'Quadro'!$A$4:$BG$78"}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_CAPC._5T__C_FREIO_DE_ALAV._E_TAMBOR">#REF!</definedName>
    <definedName name="MANUALLY">#REF!</definedName>
    <definedName name="manut" localSheetId="3" hidden="1">{"'gráf jan00'!$A$1:$AK$41"}</definedName>
    <definedName name="manut" localSheetId="5" hidden="1">{"'gráf jan00'!$A$1:$AK$41"}</definedName>
    <definedName name="manut" hidden="1">{"'gráf jan00'!$A$1:$AK$41"}</definedName>
    <definedName name="Manut.Transp.Operac.">#REF!</definedName>
    <definedName name="Manutenção">#REF!</definedName>
    <definedName name="MAODEOBRA">#REF!</definedName>
    <definedName name="Mar" localSheetId="3">'Time line '!DaysAndWeeks+DATE([0]!CalendárioYear,3,1)-WEEKDAY(DATE([0]!CalendárioYear,3,1),'Time line '!OpçãodeDiadaSemana)+1</definedName>
    <definedName name="Mar" localSheetId="5">'Time line  (2)'!DaysAndWeeks+DATE([0]!CalendárioYear,3,1)-WEEKDAY(DATE([0]!CalendárioYear,3,1),'Time line  (2)'!OpçãodeDiadaSemana)+1</definedName>
    <definedName name="Mar">DaysAndWeeks+DATE(CalendárioYear,3,1)-WEEKDAY(DATE(CalendárioYear,3,1),OpçãodeDiadaSemana)+1</definedName>
    <definedName name="marcelo" localSheetId="3" hidden="1">{"'gráf jan00'!$A$1:$AK$41"}</definedName>
    <definedName name="marcelo" localSheetId="5" hidden="1">{"'gráf jan00'!$A$1:$AK$41"}</definedName>
    <definedName name="marcelo" hidden="1">{"'gráf jan00'!$A$1:$AK$41"}</definedName>
    <definedName name="marcos" localSheetId="3" hidden="1">{#N/A,#N/A,FALSE,"SITUAÇÃO DIÁRIA ";#N/A,#N/A,FALSE,"7 à 7"}</definedName>
    <definedName name="marcos" localSheetId="5" hidden="1">{#N/A,#N/A,FALSE,"SITUAÇÃO DIÁRIA ";#N/A,#N/A,FALSE,"7 à 7"}</definedName>
    <definedName name="marcos" hidden="1">{#N/A,#N/A,FALSE,"SITUAÇÃO DIÁRIA ";#N/A,#N/A,FALSE,"7 à 7"}</definedName>
    <definedName name="MARIA" localSheetId="3" hidden="1">{"'gráf jan00'!$A$1:$AK$41"}</definedName>
    <definedName name="MARIA" localSheetId="5" hidden="1">{"'gráf jan00'!$A$1:$AK$41"}</definedName>
    <definedName name="MARIA" hidden="1">{"'gráf jan00'!$A$1:$AK$41"}</definedName>
    <definedName name="Mariatereza">#REF!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Fator">#REF!</definedName>
    <definedName name="Mat_Requerido">#REF!</definedName>
    <definedName name="MATCOUNIT">#REF!</definedName>
    <definedName name="MATERIAL">#REF!</definedName>
    <definedName name="MATPEUNIT">#REF!</definedName>
    <definedName name="Matriz">#REF!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x">#REF!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D">#REF!</definedName>
    <definedName name="MEDEXP4.1" localSheetId="3" hidden="1">{#N/A,#N/A,FALSE,"ET-CAPA";#N/A,#N/A,FALSE,"ET-PAG1";#N/A,#N/A,FALSE,"ET-PAG2";#N/A,#N/A,FALSE,"ET-PAG3";#N/A,#N/A,FALSE,"ET-PAG4";#N/A,#N/A,FALSE,"ET-PAG5"}</definedName>
    <definedName name="MEDEXP4.1" localSheetId="5" hidden="1">{#N/A,#N/A,FALSE,"ET-CAPA";#N/A,#N/A,FALSE,"ET-PAG1";#N/A,#N/A,FALSE,"ET-PAG2";#N/A,#N/A,FALSE,"ET-PAG3";#N/A,#N/A,FALSE,"ET-PAG4";#N/A,#N/A,FALSE,"ET-PAG5"}</definedName>
    <definedName name="MEDEXP4.1" hidden="1">{#N/A,#N/A,FALSE,"ET-CAPA";#N/A,#N/A,FALSE,"ET-PAG1";#N/A,#N/A,FALSE,"ET-PAG2";#N/A,#N/A,FALSE,"ET-PAG3";#N/A,#N/A,FALSE,"ET-PAG4";#N/A,#N/A,FALSE,"ET-PAG5"}</definedName>
    <definedName name="MEDEXP44" localSheetId="3" hidden="1">{#N/A,#N/A,FALSE,"ET-CAPA";#N/A,#N/A,FALSE,"ET-PAG1";#N/A,#N/A,FALSE,"ET-PAG2";#N/A,#N/A,FALSE,"ET-PAG3";#N/A,#N/A,FALSE,"ET-PAG4";#N/A,#N/A,FALSE,"ET-PAG5"}</definedName>
    <definedName name="MEDEXP44" localSheetId="5" hidden="1">{#N/A,#N/A,FALSE,"ET-CAPA";#N/A,#N/A,FALSE,"ET-PAG1";#N/A,#N/A,FALSE,"ET-PAG2";#N/A,#N/A,FALSE,"ET-PAG3";#N/A,#N/A,FALSE,"ET-PAG4";#N/A,#N/A,FALSE,"ET-PAG5"}</definedName>
    <definedName name="MEDEXP44" hidden="1">{#N/A,#N/A,FALSE,"ET-CAPA";#N/A,#N/A,FALSE,"ET-PAG1";#N/A,#N/A,FALSE,"ET-PAG2";#N/A,#N/A,FALSE,"ET-PAG3";#N/A,#N/A,FALSE,"ET-PAG4";#N/A,#N/A,FALSE,"ET-PAG5"}</definedName>
    <definedName name="MEDIA_SALARIOS">INDIRECT(CONCATENATE("GERAL_TABELAS!DC",(2+MATCH(#REF!,#REF!,0))))</definedName>
    <definedName name="meisdfdl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isdfdl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LHORIAS">#REF!</definedName>
    <definedName name="mem">#REF!</definedName>
    <definedName name="Memór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mór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ENOS">#REF!</definedName>
    <definedName name="MENSAGENS">#N/A</definedName>
    <definedName name="MENU">#N/A</definedName>
    <definedName name="MENU1">#REF!</definedName>
    <definedName name="MENU2">#REF!</definedName>
    <definedName name="MENU3">#REF!</definedName>
    <definedName name="MENU4">#REF!</definedName>
    <definedName name="MENU5">#N/A</definedName>
    <definedName name="MENU6">#N/A</definedName>
    <definedName name="MENU6A">#N/A</definedName>
    <definedName name="MENU6B">#N/A</definedName>
    <definedName name="MENU7">#N/A</definedName>
    <definedName name="MENU8">#N/A</definedName>
    <definedName name="MENUG">#REF!</definedName>
    <definedName name="merchand">#REF!</definedName>
    <definedName name="mercia" localSheetId="3" hidden="1">{"'REL CUSTODIF'!$B$1:$H$72"}</definedName>
    <definedName name="mercia" localSheetId="5" hidden="1">{"'REL CUSTODIF'!$B$1:$H$72"}</definedName>
    <definedName name="mercia" hidden="1">{"'REL CUSTODIF'!$B$1:$H$72"}</definedName>
    <definedName name="MES">#REF!</definedName>
    <definedName name="Mesant">#REF!</definedName>
    <definedName name="mesdesmobiliz">#REF!</definedName>
    <definedName name="MESES">#REF!</definedName>
    <definedName name="MESESOP">#REF!</definedName>
    <definedName name="mesmobiliz">#REF!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cerj">#REF!</definedName>
    <definedName name="metaenersis">#REF!</definedName>
    <definedName name="metasantigas" localSheetId="3" hidden="1">{"'gráf jan00'!$A$1:$AK$41"}</definedName>
    <definedName name="metasantigas" localSheetId="5" hidden="1">{"'gráf jan00'!$A$1:$AK$41"}</definedName>
    <definedName name="metasantigas" hidden="1">{"'gráf jan00'!$A$1:$AK$41"}</definedName>
    <definedName name="Metragem">#REF!</definedName>
    <definedName name="MILEAGE">#REF!</definedName>
    <definedName name="MILTON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LT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ina">#REF!</definedName>
    <definedName name="MINAS">#REF!</definedName>
    <definedName name="mine_inf_sens">#REF!</definedName>
    <definedName name="miner" localSheetId="3" hidden="1">{#N/A,#N/A,FALSE,"ET-CAPA";#N/A,#N/A,FALSE,"ET-PAG1";#N/A,#N/A,FALSE,"ET-PAG2";#N/A,#N/A,FALSE,"ET-PAG3";#N/A,#N/A,FALSE,"ET-PAG4";#N/A,#N/A,FALSE,"ET-PAG5"}</definedName>
    <definedName name="miner" localSheetId="5" hidden="1">{#N/A,#N/A,FALSE,"ET-CAPA";#N/A,#N/A,FALSE,"ET-PAG1";#N/A,#N/A,FALSE,"ET-PAG2";#N/A,#N/A,FALSE,"ET-PAG3";#N/A,#N/A,FALSE,"ET-PAG4";#N/A,#N/A,FALSE,"ET-PAG5"}</definedName>
    <definedName name="miner" hidden="1">{#N/A,#N/A,FALSE,"ET-CAPA";#N/A,#N/A,FALSE,"ET-PAG1";#N/A,#N/A,FALSE,"ET-PAG2";#N/A,#N/A,FALSE,"ET-PAG3";#N/A,#N/A,FALSE,"ET-PAG4";#N/A,#N/A,FALSE,"ET-PAG5"}</definedName>
    <definedName name="MINPGPELE">#REF!</definedName>
    <definedName name="MINPGPMEC">#REF!</definedName>
    <definedName name="MISA">#REF!</definedName>
    <definedName name="MISA_DIAM">#REF!</definedName>
    <definedName name="MISA_ESP">#REF!</definedName>
    <definedName name="MISD">#REF!</definedName>
    <definedName name="MISD_DIAM">#REF!</definedName>
    <definedName name="MISD_ESP">#REF!</definedName>
    <definedName name="M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MM" localSheetId="3" hidden="1">{"'gráf jan00'!$A$1:$AK$41"}</definedName>
    <definedName name="MMM" localSheetId="5" hidden="1">{"'gráf jan00'!$A$1:$AK$41"}</definedName>
    <definedName name="MMM" hidden="1">{"'gráf jan00'!$A$1:$AK$41"}</definedName>
    <definedName name="MO_geral">#REF!</definedName>
    <definedName name="MOA" localSheetId="3" hidden="1">{#N/A,#N/A,FALSE,"DEF1";#N/A,#N/A,FALSE,"DEF2";#N/A,#N/A,FALSE,"DEF3"}</definedName>
    <definedName name="MOA" localSheetId="5" hidden="1">{#N/A,#N/A,FALSE,"DEF1";#N/A,#N/A,FALSE,"DEF2";#N/A,#N/A,FALSE,"DEF3"}</definedName>
    <definedName name="MOA" hidden="1">{#N/A,#N/A,FALSE,"DEF1";#N/A,#N/A,FALSE,"DEF2";#N/A,#N/A,FALSE,"DEF3"}</definedName>
    <definedName name="MOAdm.Local">#REF!</definedName>
    <definedName name="MOAUX">#REF!</definedName>
    <definedName name="MOAUX___0">#REF!</definedName>
    <definedName name="mob">#REF!</definedName>
    <definedName name="MOB._DESMOB._EQUIPAMENTOS">#REF!,#REF!</definedName>
    <definedName name="MOB._DESMOB._PESSOAL">#REF!,#REF!,#REF!,#REF!</definedName>
    <definedName name="MOBIL1">#N/A</definedName>
    <definedName name="MOBIL2">#N/A</definedName>
    <definedName name="MOBIL3">#N/A</definedName>
    <definedName name="MOBILIZACAO">#N/A</definedName>
    <definedName name="MOBILIZAÇÃO" hidden="1">{#N/A,#N/A,FALSE,"Cronograma";#N/A,#N/A,FALSE,"Cronogr. 2"}</definedName>
    <definedName name="mod">#REF!</definedName>
    <definedName name="MOD_CI_civil">#REF!</definedName>
    <definedName name="MOD_CI_mont_e_ger">#REF!</definedName>
    <definedName name="MODELO" localSheetId="3" hidden="1">{#N/A,#N/A,FALSE,"SITUAÇÃO DIÁRIA ";#N/A,#N/A,FALSE,"7 à 7"}</definedName>
    <definedName name="MODELO" localSheetId="5" hidden="1">{#N/A,#N/A,FALSE,"SITUAÇÃO DIÁRIA ";#N/A,#N/A,FALSE,"7 à 7"}</definedName>
    <definedName name="MODELO" hidden="1">{#N/A,#N/A,FALSE,"SITUAÇÃO DIÁRIA ";#N/A,#N/A,FALSE,"7 à 7"}</definedName>
    <definedName name="MODUNIT">#REF!</definedName>
    <definedName name="MOEDA">#REF!</definedName>
    <definedName name="Moeda_CCenter_Month">#REF!</definedName>
    <definedName name="Moeda_CostCenter">#REF!</definedName>
    <definedName name="Moeda_CostCenter1">#REF!</definedName>
    <definedName name="MOI">#REF!</definedName>
    <definedName name="MOI_CI_civil">#REF!</definedName>
    <definedName name="MOIND">#REF!</definedName>
    <definedName name="MOIND___0">#REF!</definedName>
    <definedName name="MOIqua">#REF!</definedName>
    <definedName name="Month_Value">#REF!</definedName>
    <definedName name="Month_Value_OBRevised">#REF!</definedName>
    <definedName name="MONTHS">#REF!</definedName>
    <definedName name="MORADIA">#REF!</definedName>
    <definedName name="motor">#REF!</definedName>
    <definedName name="Motorista">#REF!</definedName>
    <definedName name="MS">#REF!</definedName>
    <definedName name="MTCA">#REF!</definedName>
    <definedName name="MTCA_AISD">#REF!</definedName>
    <definedName name="MTCA_SCH">#REF!</definedName>
    <definedName name="MTCB">#REF!</definedName>
    <definedName name="MTCB_SCH">#REF!</definedName>
    <definedName name="MTCD">#REF!</definedName>
    <definedName name="MTCD_SCH">#REF!</definedName>
    <definedName name="MTCE">#REF!</definedName>
    <definedName name="MTCE_SCH">#REF!</definedName>
    <definedName name="MTCL">#REF!</definedName>
    <definedName name="MTCL_SCH">#REF!</definedName>
    <definedName name="MTF1_SCH">#REF!</definedName>
    <definedName name="MTF2_SCH">#REF!</definedName>
    <definedName name="MTF3_SCH">#REF!</definedName>
    <definedName name="MTF4_SCH">#REF!</definedName>
    <definedName name="MTF5_SCH">#REF!</definedName>
    <definedName name="MTF6_SCH">#REF!</definedName>
    <definedName name="MTV1_DIAM">#REF!</definedName>
    <definedName name="MTV1_VALV">#REF!</definedName>
    <definedName name="MTV2_DIAM">#REF!</definedName>
    <definedName name="MTV2_VALV">#REF!</definedName>
    <definedName name="MTV3_DIAM">#REF!</definedName>
    <definedName name="MTV3_VALV">#REF!</definedName>
    <definedName name="MTV4_DIAM">#REF!</definedName>
    <definedName name="MTV4_VALV">#REF!</definedName>
    <definedName name="MTV5_DIAM">#REF!</definedName>
    <definedName name="MTV5_VALV">#REF!</definedName>
    <definedName name="MULHRT" localSheetId="3" hidden="1">{"'gráf jan00'!$A$1:$AK$41"}</definedName>
    <definedName name="MULHRT" localSheetId="5" hidden="1">{"'gráf jan00'!$A$1:$AK$41"}</definedName>
    <definedName name="MULHRT" hidden="1">{"'gráf jan00'!$A$1:$AK$41"}</definedName>
    <definedName name="MULT">#REF!</definedName>
    <definedName name="multi">#REF!</definedName>
    <definedName name="MULTIONLY">#REF!</definedName>
    <definedName name="Multiplicador">#REF!</definedName>
    <definedName name="MULTSUBEMP">#REF!</definedName>
    <definedName name="MUNICIPIOS">#REF!</definedName>
    <definedName name="n" localSheetId="3" hidden="1">{"'Dados Gerais'!$A$1:$M$37"}</definedName>
    <definedName name="n" localSheetId="5" hidden="1">{"'Dados Gerais'!$A$1:$M$37"}</definedName>
    <definedName name="n" hidden="1">{"'Dados Gerais'!$A$1:$M$37"}</definedName>
    <definedName name="N.Ferrosos" localSheetId="3" hidden="1">{"'CptDifn'!$AA$32:$AG$32"}</definedName>
    <definedName name="N.Ferrosos" localSheetId="5" hidden="1">{"'CptDifn'!$AA$32:$AG$32"}</definedName>
    <definedName name="N.Ferrosos" hidden="1">{"'CptDifn'!$AA$32:$AG$32"}</definedName>
    <definedName name="NADA">#N/A</definedName>
    <definedName name="ncc">#REF!</definedName>
    <definedName name="negócio" localSheetId="3" hidden="1">{"'gráf jan00'!$A$1:$AK$41"}</definedName>
    <definedName name="negócio" localSheetId="5" hidden="1">{"'gráf jan00'!$A$1:$AK$41"}</definedName>
    <definedName name="negócio" hidden="1">{"'gráf jan00'!$A$1:$AK$41"}</definedName>
    <definedName name="neiva">#REF!</definedName>
    <definedName name="Net">#REF!</definedName>
    <definedName name="ninefive">#REF!</definedName>
    <definedName name="ninefour">#REF!</definedName>
    <definedName name="ninenine">#REF!</definedName>
    <definedName name="nineseven">#REF!</definedName>
    <definedName name="ninesix">#REF!</definedName>
    <definedName name="ninethree">#REF!</definedName>
    <definedName name="NIVEL3">#REF!,#REF!,#REF!,#REF!,#REF!,#REF!,#REF!,#REF!,#REF!,#REF!,#REF!,#REF!,#REF!,#REF!,#REF!,#REF!,#REF!,#REF!,#REF!,#REF!,#REF!,#REF!,#REF!,#REF!,#REF!,#REF!,#REF!,#REF!,#REF!,#REF!,#REF!,#REF!,#REF!,#REF!,#REF!</definedName>
    <definedName name="NN">"Dialog Frame 1"</definedName>
    <definedName name="nnnn">#REF!</definedName>
    <definedName name="no_mois_liste">#REF!</definedName>
    <definedName name="no_référence">#REF!</definedName>
    <definedName name="no_référence_liste">#REF!</definedName>
    <definedName name="NOME">#N/A</definedName>
    <definedName name="NOME2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2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4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NOMEARQ">#N/A</definedName>
    <definedName name="NOMEFEC">#REF!</definedName>
    <definedName name="NOMES">#N/A</definedName>
    <definedName name="NOMES__">#N/A</definedName>
    <definedName name="Nomes_Minas">#REF!</definedName>
    <definedName name="NOMES1">#N/A</definedName>
    <definedName name="NOMESEQ">#REF!</definedName>
    <definedName name="NOMESFIS">#N/A</definedName>
    <definedName name="NOMESMAT">#REF!</definedName>
    <definedName name="nommmm">#REF!</definedName>
    <definedName name="Nota">#REF!</definedName>
    <definedName name="Nov" localSheetId="3">'Time line '!DaysAndWeeks+DATE([0]!CalendárioYear,11,1)-WEEKDAY(DATE([0]!CalendárioYear,11,1),'Time line '!OpçãodeDiadaSemana)+1</definedName>
    <definedName name="Nov" localSheetId="5">'Time line  (2)'!DaysAndWeeks+DATE([0]!CalendárioYear,11,1)-WEEKDAY(DATE([0]!CalendárioYear,11,1),'Time line  (2)'!OpçãodeDiadaSemana)+1</definedName>
    <definedName name="Nov">DaysAndWeeks+DATE(CalendárioYear,11,1)-WEEKDAY(DATE(CalendárioYear,11,1),OpçãodeDiadaSemana)+1</definedName>
    <definedName name="nova">#REF!</definedName>
    <definedName name="NOV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OV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UMCOMP">#REF!</definedName>
    <definedName name="NUMCOMPK">#REF!</definedName>
    <definedName name="NUMCP">#REF!</definedName>
    <definedName name="NUMCPPROV">#REF!</definedName>
    <definedName name="NumCurve">#REF!</definedName>
    <definedName name="NUMDISQ">#N/A</definedName>
    <definedName name="NUMEQ">#REF!</definedName>
    <definedName name="NUMERACOMP">#REF!</definedName>
    <definedName name="NUMERO">#REF!</definedName>
    <definedName name="NUMEROCP">#REF!</definedName>
    <definedName name="NúmeroFuncionários">#REF!</definedName>
    <definedName name="NumEstagiarios">#REF!</definedName>
    <definedName name="NumMOAdmLocal">#REF!</definedName>
    <definedName name="nw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">#REF!</definedName>
    <definedName name="OAE">#REF!</definedName>
    <definedName name="OBRA">#REF!</definedName>
    <definedName name="Óculos">#REF!</definedName>
    <definedName name="OFFSET1">OFFSET(#REF!,,,1,COUNTIF(#REF!,"=1"))</definedName>
    <definedName name="OFI">#REF!</definedName>
    <definedName name="oi">#REF!</definedName>
    <definedName name="o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nefive">#REF!</definedName>
    <definedName name="onefour">#REF!</definedName>
    <definedName name="oneone">#REF!</definedName>
    <definedName name="onethree">#REF!</definedName>
    <definedName name="onetwo">#REF!</definedName>
    <definedName name="onezero">#REF!</definedName>
    <definedName name="ONI">#REF!</definedName>
    <definedName name="Ônibus">#REF!</definedName>
    <definedName name="OOOO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O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ooop">#REF!</definedName>
    <definedName name="OpçãodeDiadaSemana" localSheetId="3">MATCH([0]!IníciodaSemana,'Time line '!DiasÚteis,0)+10</definedName>
    <definedName name="OpçãodeDiadaSemana" localSheetId="5">MATCH([0]!IníciodaSemana,'Time line  (2)'!DiasÚteis,0)+10</definedName>
    <definedName name="OpçãodeDiadaSemana">MATCH(IníciodaSemana,DiasÚteis,0)+10</definedName>
    <definedName name="OperChv">#REF!</definedName>
    <definedName name="OPIOKKL" localSheetId="3" hidden="1">{#N/A,#N/A,FALSE,"Suprimentos";#N/A,#N/A,FALSE,"Medicina e Segurança";#N/A,#N/A,FALSE,"Administração";#N/A,#N/A,FALSE,"Meio Ambiente";#N/A,#N/A,FALSE,"Operação (Mina)";#N/A,#N/A,FALSE,"Operação (Porto)"}</definedName>
    <definedName name="OPIOKKL" localSheetId="5" hidden="1">{#N/A,#N/A,FALSE,"Suprimentos";#N/A,#N/A,FALSE,"Medicina e Segurança";#N/A,#N/A,FALSE,"Administração";#N/A,#N/A,FALSE,"Meio Ambiente";#N/A,#N/A,FALSE,"Operação (Mina)";#N/A,#N/A,FALSE,"Operação (Porto)"}</definedName>
    <definedName name="OPIOKKL" hidden="1">{#N/A,#N/A,FALSE,"Suprimentos";#N/A,#N/A,FALSE,"Medicina e Segurança";#N/A,#N/A,FALSE,"Administração";#N/A,#N/A,FALSE,"Meio Ambiente";#N/A,#N/A,FALSE,"Operação (Mina)";#N/A,#N/A,FALSE,"Operação (Porto)"}</definedName>
    <definedName name="ORÇAMENTO">#REF!</definedName>
    <definedName name="orçamrest" localSheetId="3" hidden="1">{#N/A,#N/A,TRUE,"Serviços"}</definedName>
    <definedName name="orçamrest" localSheetId="5" hidden="1">{#N/A,#N/A,TRUE,"Serviços"}</definedName>
    <definedName name="orçamrest" hidden="1">{#N/A,#N/A,TRUE,"Serviços"}</definedName>
    <definedName name="ORGC">#REF!</definedName>
    <definedName name="origem">#REF!</definedName>
    <definedName name="Out" localSheetId="3">'Time line '!DaysAndWeeks+DATE([0]!CalendárioYear,10,1)-WEEKDAY(DATE([0]!CalendárioYear,10,1),'Time line '!OpçãodeDiadaSemana)+1</definedName>
    <definedName name="Out" localSheetId="5">'Time line  (2)'!DaysAndWeeks+DATE([0]!CalendárioYear,10,1)-WEEKDAY(DATE([0]!CalendárioYear,10,1),'Time line  (2)'!OpçãodeDiadaSemana)+1</definedName>
    <definedName name="Out">DaysAndWeeks+DATE(CalendárioYear,10,1)-WEEKDAY(DATE(CalendárioYear,10,1),OpçãodeDiadaSemana)+1</definedName>
    <definedName name="OUTRO">#REF!</definedName>
    <definedName name="outrossetores" localSheetId="3">#REF!</definedName>
    <definedName name="outrossetores" localSheetId="5">#REF!</definedName>
    <definedName name="outrossetores">#REF!</definedName>
    <definedName name="OUTUBRO" localSheetId="3" hidden="1">{#N/A,#N/A,FALSE,"SITUAÇÃO DIÁRIA ";#N/A,#N/A,FALSE,"7 à 7"}</definedName>
    <definedName name="OUTUBRO" localSheetId="5" hidden="1">{#N/A,#N/A,FALSE,"SITUAÇÃO DIÁRIA ";#N/A,#N/A,FALSE,"7 à 7"}</definedName>
    <definedName name="OUTUBRO" hidden="1">{#N/A,#N/A,FALSE,"SITUAÇÃO DIÁRIA ";#N/A,#N/A,FALSE,"7 à 7"}</definedName>
    <definedName name="oVolacu">#REF!</definedName>
    <definedName name="oVolAno">#REF!</definedName>
    <definedName name="oVolchv">#REF!</definedName>
    <definedName name="OVOLFAT">#REF!</definedName>
    <definedName name="oVolmes">#REF!</definedName>
    <definedName name="P">#REF!</definedName>
    <definedName name="P.Aparente">#REF!</definedName>
    <definedName name="P.Reatia">#REF!</definedName>
    <definedName name="P_SUCATA">#REF!</definedName>
    <definedName name="package">#REF!</definedName>
    <definedName name="padra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ADRÃOPRN">#REF!</definedName>
    <definedName name="Pagamento">#REF!</definedName>
    <definedName name="pAGTO">#REF!</definedName>
    <definedName name="paint">#REF!</definedName>
    <definedName name="PAPERSIZE">#REF!</definedName>
    <definedName name="parametros">#REF!</definedName>
    <definedName name="PARETOATIV" localSheetId="3" hidden="1">{#N/A,#N/A,FALSE,"CPV";#N/A,#N/A,FALSE,"Pareto";#N/A,#N/A,FALSE,"Gráficos"}</definedName>
    <definedName name="PARETOATIV" localSheetId="5" hidden="1">{#N/A,#N/A,FALSE,"CPV";#N/A,#N/A,FALSE,"Pareto";#N/A,#N/A,FALSE,"Gráficos"}</definedName>
    <definedName name="PARETOATIV" hidden="1">{#N/A,#N/A,FALSE,"CPV";#N/A,#N/A,FALSE,"Pareto";#N/A,#N/A,FALSE,"Gráficos"}</definedName>
    <definedName name="PassaExtenso" localSheetId="3">#REF!</definedName>
    <definedName name="PassaExtenso" localSheetId="5">#REF!</definedName>
    <definedName name="PassaExtenso">#REF!</definedName>
    <definedName name="pata" localSheetId="3" hidden="1">{#N/A,#N/A,FALSE,"SITUAÇÃO DIÁRIA ";#N/A,#N/A,FALSE,"7 à 7"}</definedName>
    <definedName name="pata" localSheetId="5" hidden="1">{#N/A,#N/A,FALSE,"SITUAÇÃO DIÁRIA ";#N/A,#N/A,FALSE,"7 à 7"}</definedName>
    <definedName name="pata" hidden="1">{#N/A,#N/A,FALSE,"SITUAÇÃO DIÁRIA ";#N/A,#N/A,FALSE,"7 à 7"}</definedName>
    <definedName name="pativar">#REF!</definedName>
    <definedName name="Pauta">#REF!</definedName>
    <definedName name="PAV">#REF!</definedName>
    <definedName name="PAZ.COM.N" localSheetId="3" hidden="1">{"'TelRDAV'!$A$1:$T$20"}</definedName>
    <definedName name="PAZ.COM.N" localSheetId="5" hidden="1">{"'TelRDAV'!$A$1:$T$20"}</definedName>
    <definedName name="PAZ.COM.N" hidden="1">{"'TelRDAV'!$A$1:$T$20"}</definedName>
    <definedName name="PÇ">#REF!</definedName>
    <definedName name="PD">#REF!</definedName>
    <definedName name="PDCA" localSheetId="3" hidden="1">{"'RR'!$A$2:$E$81"}</definedName>
    <definedName name="PDCA" localSheetId="5" hidden="1">{"'RR'!$A$2:$E$81"}</definedName>
    <definedName name="PDCA" hidden="1">{"'RR'!$A$2:$E$81"}</definedName>
    <definedName name="PE">#REF!</definedName>
    <definedName name="PEDRA">#REF!</definedName>
    <definedName name="PEDRA_1">#REF!</definedName>
    <definedName name="PEDRA_1_2">#REF!</definedName>
    <definedName name="PEDRA_1_3">#REF!</definedName>
    <definedName name="PEDRA_2">#REF!</definedName>
    <definedName name="PEDRA_3">#REF!</definedName>
    <definedName name="PEDRA_4">#REF!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ebete">#REF!</definedName>
    <definedName name="per">#REF!</definedName>
    <definedName name="percac">#REF!</definedName>
    <definedName name="perccom">#REF!</definedName>
    <definedName name="percdf">#REF!</definedName>
    <definedName name="percdiv">#REF!</definedName>
    <definedName name="PERCENTS">#N/A</definedName>
    <definedName name="percentuais">#REF!</definedName>
    <definedName name="percepi">#REF!</definedName>
    <definedName name="percfer">#REF!</definedName>
    <definedName name="percgas">#REF!</definedName>
    <definedName name="perche">#REF!</definedName>
    <definedName name="percimp">#REF!</definedName>
    <definedName name="percluc">#REF!</definedName>
    <definedName name="PERCMATCO">#REF!</definedName>
    <definedName name="percmatcon">#REF!</definedName>
    <definedName name="percmu">#REF!</definedName>
    <definedName name="percreaj">#REF!</definedName>
    <definedName name="PerimetroCanteiro">(#REF!+#REF!)*2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ERIODS">#REF!</definedName>
    <definedName name="Perneira">#REF!</definedName>
    <definedName name="PESOS">#N/A</definedName>
    <definedName name="PESOTOTALCOL">#REF!</definedName>
    <definedName name="PEV" localSheetId="3" hidden="1">{"'Quadro'!$A$4:$BG$78"}</definedName>
    <definedName name="PEV" localSheetId="5" hidden="1">{"'Quadro'!$A$4:$BG$78"}</definedName>
    <definedName name="PEV" hidden="1">{"'Quadro'!$A$4:$BG$78"}</definedName>
    <definedName name="pfAnoProp">#REF!</definedName>
    <definedName name="PG_agosto_2002">#REF!</definedName>
    <definedName name="PG1A">#REF!</definedName>
    <definedName name="PG2A">#REF!</definedName>
    <definedName name="PG3A">#REF!</definedName>
    <definedName name="PG4A">#REF!</definedName>
    <definedName name="PG5A">#REF!</definedName>
    <definedName name="PG6A">#REF!</definedName>
    <definedName name="PG7A">#REF!</definedName>
    <definedName name="PG8A">#REF!</definedName>
    <definedName name="PG9A">#REF!</definedName>
    <definedName name="pigrel">#REF!</definedName>
    <definedName name="PIN">#REF!</definedName>
    <definedName name="PINTURA">#REF!</definedName>
    <definedName name="pip">#REF!</definedName>
    <definedName name="pipe">#REF!</definedName>
    <definedName name="PIS">#REF!</definedName>
    <definedName name="PISCONF">#REF!</definedName>
    <definedName name="PISO">#REF!</definedName>
    <definedName name="PL">#REF!</definedName>
    <definedName name="PLA">#REF!</definedName>
    <definedName name="PLAN">#REF!:INDIRECT(#REF!)</definedName>
    <definedName name="plan01">#REF!</definedName>
    <definedName name="plan1" hidden="1">{#N/A,#N/A,FALSE,"Cronograma";#N/A,#N/A,FALSE,"Cronogr. 2"}</definedName>
    <definedName name="PLANEJADA">#REF!</definedName>
    <definedName name="planejado">#REF!</definedName>
    <definedName name="PLANEJAMENTO">#REF!</definedName>
    <definedName name="PLANILHA">#REF!</definedName>
    <definedName name="Planilha_2a_Versao_Orc2008" localSheetId="3" hidden="1">{#N/A,#N/A,FALSE,"DEF1";#N/A,#N/A,FALSE,"DEF2";#N/A,#N/A,FALSE,"DEF3"}</definedName>
    <definedName name="Planilha_2a_Versao_Orc2008" localSheetId="5" hidden="1">{#N/A,#N/A,FALSE,"DEF1";#N/A,#N/A,FALSE,"DEF2";#N/A,#N/A,FALSE,"DEF3"}</definedName>
    <definedName name="Planilha_2a_Versao_Orc2008" hidden="1">{#N/A,#N/A,FALSE,"DEF1";#N/A,#N/A,FALSE,"DEF2";#N/A,#N/A,FALSE,"DEF3"}</definedName>
    <definedName name="Plano" localSheetId="3">[0]!PeriodoInPlanejado*(#REF!&gt;0)</definedName>
    <definedName name="Plano" localSheetId="5">[0]!PeriodoInPlanejado*(#REF!&gt;0)</definedName>
    <definedName name="Plano">PeriodoInPlanejado*(#REF!&gt;0)</definedName>
    <definedName name="planoContas">#REF!</definedName>
    <definedName name="PLC">#REF!</definedName>
    <definedName name="plexport">#REF!</definedName>
    <definedName name="PLLIMPA">#REF!</definedName>
    <definedName name="PLLOJA">#REF!</definedName>
    <definedName name="PLRED">#REF!</definedName>
    <definedName name="PM">#REF!</definedName>
    <definedName name="PMREC">#REF!</definedName>
    <definedName name="pnow" localSheetId="3" hidden="1">{"'gráf jan00'!$A$1:$AK$41"}</definedName>
    <definedName name="pnow" localSheetId="5" hidden="1">{"'gráf jan00'!$A$1:$AK$41"}</definedName>
    <definedName name="pnow" hidden="1">{"'gráf jan00'!$A$1:$AK$41"}</definedName>
    <definedName name="PNPBASELE">#REF!</definedName>
    <definedName name="PNPBASMEC">#REF!</definedName>
    <definedName name="po">#REF!</definedName>
    <definedName name="pock">#REF!</definedName>
    <definedName name="POETOTINS">#REF!</definedName>
    <definedName name="POIUYT" localSheetId="3" hidden="1">{"'REL CUSTODIF'!$B$1:$H$72"}</definedName>
    <definedName name="POIUYT" localSheetId="5" hidden="1">{"'REL CUSTODIF'!$B$1:$H$72"}</definedName>
    <definedName name="POIUYT" hidden="1">{"'REL CUSTODIF'!$B$1:$H$72"}</definedName>
    <definedName name="PONTE">#REF!</definedName>
    <definedName name="pop">#REF!</definedName>
    <definedName name="popo">#REF!</definedName>
    <definedName name="PORCENTAGEM">#REF!</definedName>
    <definedName name="PorcentagemConcluída" localSheetId="3">[0]!PorcentagemConcluídaPosterior*[0]!PeriodoInPlanejado</definedName>
    <definedName name="PorcentagemConcluída" localSheetId="5">[0]!PorcentagemConcluídaPosterior*[0]!PeriodoInPlanejado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ortfolio">#REF!</definedName>
    <definedName name="Portos1" localSheetId="3" hidden="1">{"'RR'!$A$2:$E$81"}</definedName>
    <definedName name="Portos1" localSheetId="5" hidden="1">{"'RR'!$A$2:$E$81"}</definedName>
    <definedName name="Portos1" hidden="1">{"'RR'!$A$2:$E$81"}</definedName>
    <definedName name="PORTU" localSheetId="3" hidden="1">{"'REL CUSTODIF'!$B$1:$H$72"}</definedName>
    <definedName name="PORTU" localSheetId="5" hidden="1">{"'REL CUSTODIF'!$B$1:$H$72"}</definedName>
    <definedName name="PORTU" hidden="1">{"'REL CUSTODIF'!$B$1:$H$72"}</definedName>
    <definedName name="po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SUI_DF">OFFSET(#REF!,0,0,COUNTA(#REF!)-1,1)</definedName>
    <definedName name="Potencia">#REF!</definedName>
    <definedName name="PPAG">#REF!</definedName>
    <definedName name="PPCOFINS">#REF!</definedName>
    <definedName name="PPFRE">#REF!</definedName>
    <definedName name="PPICMS">#REF!</definedName>
    <definedName name="PPIPI">#REF!</definedName>
    <definedName name="ppl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plp">#REF!</definedName>
    <definedName name="PPPIS">#REF!</definedName>
    <definedName name="PPRA" localSheetId="3" hidden="1">{"'CptDifn'!$AA$32:$AG$32"}</definedName>
    <definedName name="PPRA" localSheetId="5" hidden="1">{"'CptDifn'!$AA$32:$AG$32"}</definedName>
    <definedName name="PPRA" hidden="1">{"'CptDifn'!$AA$32:$AG$32"}</definedName>
    <definedName name="PPREP">#REF!</definedName>
    <definedName name="PPSA2" localSheetId="3" hidden="1">{"'REL CUSTODIF'!$B$1:$H$72"}</definedName>
    <definedName name="PPSA2" localSheetId="5" hidden="1">{"'REL CUSTODIF'!$B$1:$H$72"}</definedName>
    <definedName name="PPSA2" hidden="1">{"'REL CUSTODIF'!$B$1:$H$72"}</definedName>
    <definedName name="PPSAL">#REF!</definedName>
    <definedName name="PQ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_Memori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QONTRA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" localSheetId="3" hidden="1">{#N/A,#N/A,FALSE,"ET-CAPA";#N/A,#N/A,FALSE,"ET-PAG1";#N/A,#N/A,FALSE,"ET-PAG2";#N/A,#N/A,FALSE,"ET-PAG3";#N/A,#N/A,FALSE,"ET-PAG4";#N/A,#N/A,FALSE,"ET-PAG5"}</definedName>
    <definedName name="PRAT" localSheetId="5" hidden="1">{#N/A,#N/A,FALSE,"ET-CAPA";#N/A,#N/A,FALSE,"ET-PAG1";#N/A,#N/A,FALSE,"ET-PAG2";#N/A,#N/A,FALSE,"ET-PAG3";#N/A,#N/A,FALSE,"ET-PAG4";#N/A,#N/A,FALSE,"ET-PAG5"}</definedName>
    <definedName name="PRAT" hidden="1">{#N/A,#N/A,FALSE,"ET-CAPA";#N/A,#N/A,FALSE,"ET-PAG1";#N/A,#N/A,FALSE,"ET-PAG2";#N/A,#N/A,FALSE,"ET-PAG3";#N/A,#N/A,FALSE,"ET-PAG4";#N/A,#N/A,FALSE,"ET-PAG5"}</definedName>
    <definedName name="prati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ATICAB" localSheetId="3" hidden="1">{#N/A,#N/A,FALSE,"ET-CAPA";#N/A,#N/A,FALSE,"ET-PAG1";#N/A,#N/A,FALSE,"ET-PAG2";#N/A,#N/A,FALSE,"ET-PAG3";#N/A,#N/A,FALSE,"ET-PAG4";#N/A,#N/A,FALSE,"ET-PAG5"}</definedName>
    <definedName name="PRATICAB" localSheetId="5" hidden="1">{#N/A,#N/A,FALSE,"ET-CAPA";#N/A,#N/A,FALSE,"ET-PAG1";#N/A,#N/A,FALSE,"ET-PAG2";#N/A,#N/A,FALSE,"ET-PAG3";#N/A,#N/A,FALSE,"ET-PAG4";#N/A,#N/A,FALSE,"ET-PAG5"}</definedName>
    <definedName name="PRATICAB" hidden="1">{#N/A,#N/A,FALSE,"ET-CAPA";#N/A,#N/A,FALSE,"ET-PAG1";#N/A,#N/A,FALSE,"ET-PAG2";#N/A,#N/A,FALSE,"ET-PAG3";#N/A,#N/A,FALSE,"ET-PAG4";#N/A,#N/A,FALSE,"ET-PAG5"}</definedName>
    <definedName name="Prazo">#REF!</definedName>
    <definedName name="prazobra">#REF!</definedName>
    <definedName name="PRAZODISC">#N/A</definedName>
    <definedName name="PRCIVIL">#N/A</definedName>
    <definedName name="PRE">#REF!</definedName>
    <definedName name="pre_moi_jor">#REF!</definedName>
    <definedName name="PREC">#REF!</definedName>
    <definedName name="precipitações">#REF!</definedName>
    <definedName name="PRECO">#REF!</definedName>
    <definedName name="PREÇO">#REF!</definedName>
    <definedName name="PREÇO_TOTAL_COMUM">IFERROR(SUMIFS(#REF!,#REF!,TRUE,#REF!,48)*(#REF!/SUM(#REF!)),0)</definedName>
    <definedName name="Preço_Unitário_com_impostos">#REF!</definedName>
    <definedName name="PRECOS">#REF!</definedName>
    <definedName name="Preços">#REF!</definedName>
    <definedName name="PRECOUNITARIO">#REF!</definedName>
    <definedName name="PREMAT">#REF!</definedName>
    <definedName name="premier_mois">#REF!</definedName>
    <definedName name="première_référence">#REF!</definedName>
    <definedName name="PREQUIP">#REF!</definedName>
    <definedName name="PreviousData">#REF!</definedName>
    <definedName name="PREVISTOA">#REF!,#REF!,#REF!,#REF!,#REF!,#REF!,#REF!,#REF!,#REF!,#REF!,#REF!,#REF!,#REF!,#REF!,#REF!,#REF!,#REF!,#REF!,#REF!,#REF!,#REF!,#REF!,#REF!,#REF!,#REF!,#REF!,#REF!,#REF!,#REF!,#REF!,#REF!,#REF!,#REF!,#REF!,#REF!,#REF!</definedName>
    <definedName name="PRIMEIRA">#REF!</definedName>
    <definedName name="Primeiro">#REF!</definedName>
    <definedName name="Print">#REF!</definedName>
    <definedName name="Print_Area_MI">#REF!</definedName>
    <definedName name="Print_Titles_MI">#REF!</definedName>
    <definedName name="PRINTLANDSCAPE">#REF!</definedName>
    <definedName name="PRINTONLY">#REF!</definedName>
    <definedName name="PRINTSCOL">#REF!</definedName>
    <definedName name="PRINTTCOL">#REF!</definedName>
    <definedName name="PRINTVAR">#REF!</definedName>
    <definedName name="proc">#REF!</definedName>
    <definedName name="PROCESSA">#REF!</definedName>
    <definedName name="processmtd">#REF!</definedName>
    <definedName name="processytd">#REF!</definedName>
    <definedName name="PROD_1" localSheetId="3" hidden="1">{#N/A,#N/A,TRUE,"Serviços"}</definedName>
    <definedName name="PROD_1" localSheetId="5" hidden="1">{#N/A,#N/A,TRUE,"Serviços"}</definedName>
    <definedName name="PROD_1" hidden="1">{#N/A,#N/A,TRUE,"Serviços"}</definedName>
    <definedName name="ProdChv">#REF!</definedName>
    <definedName name="ProdGranAlegria">#REF!</definedName>
    <definedName name="ProdGranFabricaNova">#REF!</definedName>
    <definedName name="ProdGranFazendao">#REF!</definedName>
    <definedName name="ProdGranTimbopeba">#REF!</definedName>
    <definedName name="ProdPFAlegria">#REF!</definedName>
    <definedName name="ProdPFFabricaNova">#REF!</definedName>
    <definedName name="ProdPFFazendao">#REF!</definedName>
    <definedName name="ProdPFTimbopeba">#REF!</definedName>
    <definedName name="ProdSFAlegria">#REF!</definedName>
    <definedName name="ProdSFFabricaNova">#REF!</definedName>
    <definedName name="ProdSFFazendao">#REF!</definedName>
    <definedName name="ProdSFTimbopeba">#REF!</definedName>
    <definedName name="Produção" localSheetId="3" hidden="1">{"'REL CUSTODIF'!$B$1:$H$72"}</definedName>
    <definedName name="Produção" localSheetId="5" hidden="1">{"'REL CUSTODIF'!$B$1:$H$72"}</definedName>
    <definedName name="Produção" hidden="1">{"'REL CUSTODIF'!$B$1:$H$72"}</definedName>
    <definedName name="PROG">#REF!</definedName>
    <definedName name="Prog.Excel._Set" localSheetId="3" hidden="1">{"'teste'!$B$2:$R$49"}</definedName>
    <definedName name="Prog.Excel._Set" localSheetId="5" hidden="1">{"'teste'!$B$2:$R$49"}</definedName>
    <definedName name="Prog.Excel._Set" hidden="1">{"'teste'!$B$2:$R$49"}</definedName>
    <definedName name="PROGDIM">#N/A</definedName>
    <definedName name="Project">#REF!</definedName>
    <definedName name="project_name">#REF!</definedName>
    <definedName name="Projetado">#REF!</definedName>
    <definedName name="PROJETO">#REF!</definedName>
    <definedName name="Projetos">#REF!</definedName>
    <definedName name="proposta" localSheetId="3" hidden="1">{"'Quadro'!$A$4:$BG$78"}</definedName>
    <definedName name="proposta" localSheetId="5" hidden="1">{"'Quadro'!$A$4:$BG$78"}</definedName>
    <definedName name="proposta" hidden="1">{"'Quadro'!$A$4:$BG$78"}</definedName>
    <definedName name="PRPD">#REF!</definedName>
    <definedName name="PRRA" localSheetId="3" hidden="1">{"'CptDifn'!$AA$32:$AG$32"}</definedName>
    <definedName name="PRRA" localSheetId="5" hidden="1">{"'CptDifn'!$AA$32:$AG$32"}</definedName>
    <definedName name="PRRA" hidden="1">{"'CptDifn'!$AA$32:$AG$32"}</definedName>
    <definedName name="PRTOTALCOL">#REF!</definedName>
    <definedName name="PS">#REF!</definedName>
    <definedName name="PTONSUCATA">#REF!</definedName>
    <definedName name="PU">#REF!</definedName>
    <definedName name="PÚBLICO">#REF!</definedName>
    <definedName name="PUNIT">#REF!</definedName>
    <definedName name="pValchv">#REF!</definedName>
    <definedName name="q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2teste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2test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AUX">#REF!</definedName>
    <definedName name="QEQ">#REF!</definedName>
    <definedName name="QMAT">#REF!</definedName>
    <definedName name="QPRE">#REF!</definedName>
    <definedName name="qq">#REF!</definedName>
    <definedName name="QQP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QQQQ" localSheetId="3" hidden="1">{"'gráf jan00'!$A$1:$AK$41"}</definedName>
    <definedName name="QQQQ" localSheetId="5" hidden="1">{"'gráf jan00'!$A$1:$AK$41"}</definedName>
    <definedName name="QQQQ" hidden="1">{"'gráf jan00'!$A$1:$AK$41"}</definedName>
    <definedName name="qqqqqq" localSheetId="3" hidden="1">{"'gráf jan00'!$A$1:$AK$41"}</definedName>
    <definedName name="qqqqqq" localSheetId="5" hidden="1">{"'gráf jan00'!$A$1:$AK$41"}</definedName>
    <definedName name="qqqqqq" hidden="1">{"'gráf jan00'!$A$1:$AK$41"}</definedName>
    <definedName name="qt">#REF!</definedName>
    <definedName name="QTDE">#REF!</definedName>
    <definedName name="Quadro_Adianto">#REF!</definedName>
    <definedName name="Quadro_Atraso">#REF!</definedName>
    <definedName name="Quadro_Cabeçalho">#REF!</definedName>
    <definedName name="quadrodequipamentos">#REF!</definedName>
    <definedName name="QuadroResumoTotal">"Grupo 326"</definedName>
    <definedName name="quadros">#REF!</definedName>
    <definedName name="QuadroTotaisGamaProduto">"Grupo 350"</definedName>
    <definedName name="QUANT">#REF!</definedName>
    <definedName name="QUANTASDISC">#N/A</definedName>
    <definedName name="QUANTASDISCMOB">#N/A</definedName>
    <definedName name="QUANTID1">#N/A</definedName>
    <definedName name="QUANTK">#REF!</definedName>
    <definedName name="QUANTOTMAT9">#REF!</definedName>
    <definedName name="QUANTTOTEQUIP">#REF!</definedName>
    <definedName name="QUANTTOTEQUIP1">#REF!</definedName>
    <definedName name="QUANTTOTEQUIP10">#REF!</definedName>
    <definedName name="QUANTTOTEQUIP2">#REF!</definedName>
    <definedName name="QUANTTOTEQUIP3">#REF!</definedName>
    <definedName name="QUANTTOTEQUIP4">#REF!</definedName>
    <definedName name="QUANTTOTEQUIP5">#REF!</definedName>
    <definedName name="QUANTTOTEQUIP6">#REF!</definedName>
    <definedName name="QUANTTOTEQUIP7">#REF!</definedName>
    <definedName name="QUANTTOTEQUIP8">#REF!</definedName>
    <definedName name="QUANTTOTEQUIP9">#REF!</definedName>
    <definedName name="QUANTTOTMAT">#REF!</definedName>
    <definedName name="QUANTTOTMAT1">#REF!</definedName>
    <definedName name="QUANTTOTMAT10">#REF!</definedName>
    <definedName name="QUANTTOTMAT11">#REF!</definedName>
    <definedName name="QUANTTOTMAT12">#REF!</definedName>
    <definedName name="QUANTTOTMAT13">#REF!</definedName>
    <definedName name="QUANTTOTMAT2">#REF!</definedName>
    <definedName name="QUANTTOTMAT3">#REF!</definedName>
    <definedName name="QUANTTOTMAT4">#REF!</definedName>
    <definedName name="QUANTTOTMAT5">#REF!</definedName>
    <definedName name="QUANTTOTMAT6">#REF!</definedName>
    <definedName name="QUANTTOTMAT7">#REF!</definedName>
    <definedName name="QUANTTOTMAT8">#REF!</definedName>
    <definedName name="QUANTTOTMAT9">#REF!</definedName>
    <definedName name="que" localSheetId="3" hidden="1">{#N/A,#N/A,FALSE,"PCOL"}</definedName>
    <definedName name="que" localSheetId="5" hidden="1">{#N/A,#N/A,FALSE,"PCOL"}</definedName>
    <definedName name="que" hidden="1">{#N/A,#N/A,FALSE,"PCOL"}</definedName>
    <definedName name="QUERAPAGTAB">#N/A</definedName>
    <definedName name="quis">#REF!</definedName>
    <definedName name="QUQT" localSheetId="3" hidden="1">{"'gráf jan00'!$A$1:$AK$41"}</definedName>
    <definedName name="QUQT" localSheetId="5" hidden="1">{"'gráf jan00'!$A$1:$AK$41"}</definedName>
    <definedName name="QUQT" hidden="1">{"'gráf jan00'!$A$1:$AK$41"}</definedName>
    <definedName name="QWE" localSheetId="3" hidden="1">{"'gráf jan00'!$A$1:$AK$41"}</definedName>
    <definedName name="QWE" localSheetId="5" hidden="1">{"'gráf jan00'!$A$1:$AK$41"}</definedName>
    <definedName name="QWE" hidden="1">{"'gráf jan00'!$A$1:$AK$41"}</definedName>
    <definedName name="qweeererr" localSheetId="3" hidden="1">{"'RR'!$A$2:$E$81"}</definedName>
    <definedName name="qweeererr" localSheetId="5" hidden="1">{"'RR'!$A$2:$E$81"}</definedName>
    <definedName name="qweeererr" hidden="1">{"'RR'!$A$2:$E$81"}</definedName>
    <definedName name="qwqq" localSheetId="3" hidden="1">{#N/A,#N/A,FALSE,"PCOL"}</definedName>
    <definedName name="qwqq" localSheetId="5" hidden="1">{#N/A,#N/A,FALSE,"PCOL"}</definedName>
    <definedName name="qwqq" hidden="1">{#N/A,#N/A,FALSE,"PCOL"}</definedName>
    <definedName name="qwqw" localSheetId="3" hidden="1">{#N/A,#N/A,FALSE,"PCOL"}</definedName>
    <definedName name="qwqw" localSheetId="5" hidden="1">{#N/A,#N/A,FALSE,"PCOL"}</definedName>
    <definedName name="qwqw" hidden="1">{#N/A,#N/A,FALSE,"PCOL"}</definedName>
    <definedName name="qwqweq" localSheetId="3" hidden="1">{#N/A,#N/A,FALSE,"PCOL"}</definedName>
    <definedName name="qwqweq" localSheetId="5" hidden="1">{#N/A,#N/A,FALSE,"PCOL"}</definedName>
    <definedName name="qwqweq" hidden="1">{#N/A,#N/A,FALSE,"PCOL"}</definedName>
    <definedName name="qwqwq" localSheetId="3" hidden="1">{#N/A,#N/A,FALSE,"PCOL"}</definedName>
    <definedName name="qwqwq" localSheetId="5" hidden="1">{#N/A,#N/A,FALSE,"PCOL"}</definedName>
    <definedName name="qwqwq" hidden="1">{#N/A,#N/A,FALSE,"PCOL"}</definedName>
    <definedName name="qwqwsq" localSheetId="3" hidden="1">{#N/A,#N/A,FALSE,"PCOL"}</definedName>
    <definedName name="qwqwsq" localSheetId="5" hidden="1">{#N/A,#N/A,FALSE,"PCOL"}</definedName>
    <definedName name="qwqwsq" hidden="1">{#N/A,#N/A,FALSE,"PCOL"}</definedName>
    <definedName name="RA">#N/A</definedName>
    <definedName name="RANGE1">#REF!</definedName>
    <definedName name="RANGE2">#REF!</definedName>
    <definedName name="rascunho">#REF!</definedName>
    <definedName name="RB">#N/A</definedName>
    <definedName name="rdff" localSheetId="3" hidden="1">{#N/A,#N/A,TRUE,"indice";#N/A,#N/A,TRUE,"indicadores";#N/A,#N/A,TRUE,"comentarios"}</definedName>
    <definedName name="rdff" localSheetId="5" hidden="1">{#N/A,#N/A,TRUE,"indice";#N/A,#N/A,TRUE,"indicadores";#N/A,#N/A,TRUE,"comentarios"}</definedName>
    <definedName name="rdff" hidden="1">{#N/A,#N/A,TRUE,"indice";#N/A,#N/A,TRUE,"indicadores";#N/A,#N/A,TRUE,"comentarios"}</definedName>
    <definedName name="RDGDCELE">#REF!</definedName>
    <definedName name="RDGDCMEC">#REF!</definedName>
    <definedName name="RDTEA" localSheetId="3" hidden="1">{"'Quadro'!$A$4:$BG$78"}</definedName>
    <definedName name="RDTEA" localSheetId="5" hidden="1">{"'Quadro'!$A$4:$BG$78"}</definedName>
    <definedName name="RDTEA" hidden="1">{"'Quadro'!$A$4:$BG$78"}</definedName>
    <definedName name="re">#REF!</definedName>
    <definedName name="reagent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juste">#REF!</definedName>
    <definedName name="Real" localSheetId="3">([0]!PeriodoInReal*(#REF!&gt;0))*[0]!PeriodoInPlanejado</definedName>
    <definedName name="Real" localSheetId="5">([0]!PeriodoInReal*(#REF!&gt;0))*[0]!PeriodoInPlanejado</definedName>
    <definedName name="Real">(PeriodoInReal*(#REF!&gt;0))*PeriodoInPlanejado</definedName>
    <definedName name="RealPosterior" localSheetId="3">[0]!PeriodoInReal*(#REF!&gt;0)</definedName>
    <definedName name="RealPosterior" localSheetId="5">[0]!PeriodoInReal*(#REF!&gt;0)</definedName>
    <definedName name="RealPosterior">PeriodoInReal*(#REF!&gt;0)</definedName>
    <definedName name="rec">#REF!</definedName>
    <definedName name="RECALCULA">#REF!</definedName>
    <definedName name="RECAP" hidden="1">{#N/A,#N/A,FALSE,"Cronograma";#N/A,#N/A,FALSE,"Cronogr. 2"}</definedName>
    <definedName name="receita">#REF!</definedName>
    <definedName name="RECICLAGEM">#REF!</definedName>
    <definedName name="reconc">#REF!</definedName>
    <definedName name="reducao">#REF!</definedName>
    <definedName name="REF">#REF!</definedName>
    <definedName name="REGULADORA">#REF!</definedName>
    <definedName name="REL" localSheetId="3" hidden="1">{#N/A,#N/A,TRUE,"Serviços"}</definedName>
    <definedName name="REL" localSheetId="5" hidden="1">{#N/A,#N/A,TRUE,"Serviços"}</definedName>
    <definedName name="REL" hidden="1">{#N/A,#N/A,TRUE,"Serviços"}</definedName>
    <definedName name="relator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or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tório_de_faturamento">#REF!</definedName>
    <definedName name="relatoriogerencial">#REF!</definedName>
    <definedName name="RELEQUIP">#REF!</definedName>
    <definedName name="RELMATPERM">#REF!</definedName>
    <definedName name="Rendimento">#REF!</definedName>
    <definedName name="REPLANILHAMENTO1">#REF!</definedName>
    <definedName name="REPORTS">#REF!</definedName>
    <definedName name="REQUISICAO">OFFSET(#REF!,0,0,COUNTA(#REF!)-1,1)</definedName>
    <definedName name="res">#REF!</definedName>
    <definedName name="RESETCOL">#N/A</definedName>
    <definedName name="RESFEC">#REF!</definedName>
    <definedName name="RESHH">#REF!</definedName>
    <definedName name="resultadorendimento">#REF!</definedName>
    <definedName name="RESUMDIV">#REF!</definedName>
    <definedName name="RESUMO">#N/A</definedName>
    <definedName name="Resumo1" localSheetId="3" hidden="1">{"'teste'!$B$2:$R$49"}</definedName>
    <definedName name="Resumo1" localSheetId="5" hidden="1">{"'teste'!$B$2:$R$49"}</definedName>
    <definedName name="Resumo1" hidden="1">{"'teste'!$B$2:$R$49"}</definedName>
    <definedName name="RESUMOT">#REF!</definedName>
    <definedName name="RET" localSheetId="3" hidden="1">{"'Quadro'!$A$4:$BG$78"}</definedName>
    <definedName name="RET" localSheetId="5" hidden="1">{"'Quadro'!$A$4:$BG$78"}</definedName>
    <definedName name="RET" hidden="1">{"'Quadro'!$A$4:$BG$78"}</definedName>
    <definedName name="reuyre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ev">#REF!</definedName>
    <definedName name="REV.">#REF!</definedName>
    <definedName name="RevBy">#REF!</definedName>
    <definedName name="RevDate">#REF!</definedName>
    <definedName name="RevList">#REF!</definedName>
    <definedName name="RevListBy">#REF!</definedName>
    <definedName name="RevListDate">#REF!</definedName>
    <definedName name="RevListNo">#REF!</definedName>
    <definedName name="RevListStatus">#REF!</definedName>
    <definedName name="RF">#N/A</definedName>
    <definedName name="RFTY" localSheetId="3" hidden="1">{"'Quadro'!$A$4:$BG$78"}</definedName>
    <definedName name="RFTY" localSheetId="5" hidden="1">{"'Quadro'!$A$4:$BG$78"}</definedName>
    <definedName name="RFTY" hidden="1">{"'Quadro'!$A$4:$BG$78"}</definedName>
    <definedName name="Rg">#REF!</definedName>
    <definedName name="RGDRGD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GDRGD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hoaço">#REF!</definedName>
    <definedName name="rhoagu">#REF!</definedName>
    <definedName name="ric">#REF!</definedName>
    <definedName name="Ricardopedra">#REF!</definedName>
    <definedName name="ricart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35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2000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2</definedName>
    <definedName name="RiskStatFunctionsUpdateFreq">1</definedName>
    <definedName name="RiskTemplateSheetName">"myTemplate"</definedName>
    <definedName name="RiskUpdateDisplay">TRUE</definedName>
    <definedName name="RiskUpdateStatFunctions">TRUE</definedName>
    <definedName name="RiskUseDifferentSeedForEachSim">FALSE</definedName>
    <definedName name="RiskUseFixedSeed">FALSE</definedName>
    <definedName name="RiskUseMultipleCPUs">FALSE</definedName>
    <definedName name="RJMODELE">#REF!</definedName>
    <definedName name="RJMODMEC">#REF!</definedName>
    <definedName name="RMOIENGELE">#REF!</definedName>
    <definedName name="RMOIENGMEC">#REF!</definedName>
    <definedName name="RMOIMONELE">#REF!</definedName>
    <definedName name="RMOIMONMEC">#REF!</definedName>
    <definedName name="RMOIPROELE">#REF!</definedName>
    <definedName name="RMOIPROMEC">#REF!</definedName>
    <definedName name="road">#REF!</definedName>
    <definedName name="rodovia">#REF!</definedName>
    <definedName name="rol">#REF!</definedName>
    <definedName name="ROTBEEP">#N/A</definedName>
    <definedName name="ROTEQ">#N/A</definedName>
    <definedName name="ROTEQ1">#N/A</definedName>
    <definedName name="ROTFIS1">#N/A</definedName>
    <definedName name="ROTFIS2">#N/A</definedName>
    <definedName name="ROTFIS3">#N/A</definedName>
    <definedName name="ROTFORM">#N/A</definedName>
    <definedName name="ROTNOM">#N/A</definedName>
    <definedName name="ROTPERC">#N/A</definedName>
    <definedName name="ROTRISC">#N/A</definedName>
    <definedName name="ROTSOMA1">#N/A</definedName>
    <definedName name="ROTTOTALGER">#N/A</definedName>
    <definedName name="RP">#REF!</definedName>
    <definedName name="rr" localSheetId="3" hidden="1">{#N/A,#N/A,TRUE,"Serviços"}</definedName>
    <definedName name="rr" localSheetId="5" hidden="1">{#N/A,#N/A,TRUE,"Serviços"}</definedName>
    <definedName name="rr" hidden="1">{#N/A,#N/A,TRUE,"Serviços"}</definedName>
    <definedName name="rrff" localSheetId="3" hidden="1">{#N/A,#N/A,TRUE,"Serviços"}</definedName>
    <definedName name="rrff" localSheetId="5" hidden="1">{#N/A,#N/A,TRUE,"Serviços"}</definedName>
    <definedName name="rrff" hidden="1">{#N/A,#N/A,TRUE,"Serviços"}</definedName>
    <definedName name="RRR" localSheetId="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localSheetId="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rrrrrrrrrrr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rrrrrr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s">#REF!</definedName>
    <definedName name="RT">OFFSET(#REF!,0,0,COUNTA(#REF!)-1,1)</definedName>
    <definedName name="Rtotal">#REF!</definedName>
    <definedName name="rtywrt">#REF!</definedName>
    <definedName name="RUN">#REF!</definedName>
    <definedName name="RUNAREA1">#REF!</definedName>
    <definedName name="RUNAREA10">#REF!</definedName>
    <definedName name="RUNAREA11">#REF!</definedName>
    <definedName name="RUNAREA12">#REF!</definedName>
    <definedName name="RUNAREA13">#REF!</definedName>
    <definedName name="RUNAREA14">#REF!</definedName>
    <definedName name="RUNAREA2">#REF!</definedName>
    <definedName name="RUNAREA3">#REF!</definedName>
    <definedName name="RUNAREA4">#REF!</definedName>
    <definedName name="RUNAREA5">#REF!</definedName>
    <definedName name="RUNAREA6">#REF!</definedName>
    <definedName name="RUNAREA7">#REF!</definedName>
    <definedName name="RUNAREA8">#REF!</definedName>
    <definedName name="RUNAREA9">#REF!</definedName>
    <definedName name="RUNBATCH">#REF!</definedName>
    <definedName name="RUNBATCH2">#REF!</definedName>
    <definedName name="RUNBATCH3">#REF!</definedName>
    <definedName name="RUNPRINT">#REF!</definedName>
    <definedName name="RUNSCOL">#REF!</definedName>
    <definedName name="RUNSCOLB">#REF!</definedName>
    <definedName name="RUNSCOLL">#REF!</definedName>
    <definedName name="RUNTCOL">#REF!</definedName>
    <definedName name="RUNTCOLB">#REF!</definedName>
    <definedName name="RUNTCOLB2">#REF!</definedName>
    <definedName name="RUNTCOLL">#REF!</definedName>
    <definedName name="RUNTCOLL2">#REF!</definedName>
    <definedName name="RUNTCOLX">#REF!</definedName>
    <definedName name="RUNVAR">#REF!</definedName>
    <definedName name="RUNVARB">#REF!</definedName>
    <definedName name="RUNVARL">#REF!</definedName>
    <definedName name="S">#REF!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F" localSheetId="3" hidden="1">{"'Quadro'!$A$4:$BG$78"}</definedName>
    <definedName name="SAAF" localSheetId="5" hidden="1">{"'Quadro'!$A$4:$BG$78"}</definedName>
    <definedName name="SAAF" hidden="1">{"'Quadro'!$A$4:$BG$78"}</definedName>
    <definedName name="sabrin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brin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c" localSheetId="3" hidden="1">{#N/A,#N/A,FALSE,"PCOL"}</definedName>
    <definedName name="sac" localSheetId="5" hidden="1">{#N/A,#N/A,FALSE,"PCOL"}</definedName>
    <definedName name="sac" hidden="1">{#N/A,#N/A,FALSE,"PCOL"}</definedName>
    <definedName name="SA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FDASFD" localSheetId="3" hidden="1">{"'REL CUSTODIF'!$B$1:$H$72"}</definedName>
    <definedName name="SAFDASFD" localSheetId="5" hidden="1">{"'REL CUSTODIF'!$B$1:$H$72"}</definedName>
    <definedName name="SAFDASFD" hidden="1">{"'REL CUSTODIF'!$B$1:$H$72"}</definedName>
    <definedName name="SALARIO">#REF!</definedName>
    <definedName name="SALARIO_BRUTO">#REF!</definedName>
    <definedName name="SALARIO_MOD">INDIRECT(CONCATENATE("GERAL_TABELAS!DD",(2+MATCH(#REF!,#REF!,0))))</definedName>
    <definedName name="SALARIOS">#REF!</definedName>
    <definedName name="Salários">#REF!</definedName>
    <definedName name="Saldo">#REF!</definedName>
    <definedName name="SALVAMENTO">#N/A</definedName>
    <definedName name="SAPBEXdnldView" hidden="1">"45PQXFK1FNU8V8F6EX8BUJ292"</definedName>
    <definedName name="SAPBEXsysID" hidden="1">"BIP"</definedName>
    <definedName name="saquinho" localSheetId="3" hidden="1">{#N/A,#N/A,FALSE,"PCOL"}</definedName>
    <definedName name="saquinho" localSheetId="5" hidden="1">{#N/A,#N/A,FALSE,"PCOL"}</definedName>
    <definedName name="saquinho" hidden="1">{#N/A,#N/A,FALSE,"PCOL"}</definedName>
    <definedName name="SAR" localSheetId="3" hidden="1">{"'Quadro'!$A$4:$BG$78"}</definedName>
    <definedName name="SAR" localSheetId="5" hidden="1">{"'Quadro'!$A$4:$BG$78"}</definedName>
    <definedName name="SAR" hidden="1">{"'Quadro'!$A$4:$BG$78"}</definedName>
    <definedName name="sargtwregwer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sasa" localSheetId="3" hidden="1">{"'gráf jan00'!$A$1:$AK$41"}</definedName>
    <definedName name="sasasa" localSheetId="5" hidden="1">{"'gráf jan00'!$A$1:$AK$41"}</definedName>
    <definedName name="sasasa" hidden="1">{"'gráf jan00'!$A$1:$AK$41"}</definedName>
    <definedName name="sasassasa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DD">#REF!</definedName>
    <definedName name="SAVEAS">#REF!</definedName>
    <definedName name="SCHEDERROR">#REF!</definedName>
    <definedName name="SCHEDTBL">#REF!</definedName>
    <definedName name="SCHEDULES">#REF!</definedName>
    <definedName name="SCs" localSheetId="3" hidden="1">{"'REL CUSTODIF'!$B$1:$H$72"}</definedName>
    <definedName name="SCs" localSheetId="5" hidden="1">{"'REL CUSTODIF'!$B$1:$H$72"}</definedName>
    <definedName name="SCs" hidden="1">{"'REL CUSTODIF'!$B$1:$H$72"}</definedName>
    <definedName name="SDadsd" localSheetId="3" hidden="1">{"'REL CUSTODIF'!$B$1:$H$72"}</definedName>
    <definedName name="SDadsd" localSheetId="5" hidden="1">{"'REL CUSTODIF'!$B$1:$H$72"}</definedName>
    <definedName name="SDadsd" hidden="1">{"'REL CUSTODIF'!$B$1:$H$72"}</definedName>
    <definedName name="sdcsadSD" localSheetId="3" hidden="1">{"'REL CUSTODIF'!$B$1:$H$72"}</definedName>
    <definedName name="sdcsadSD" localSheetId="5" hidden="1">{"'REL CUSTODIF'!$B$1:$H$72"}</definedName>
    <definedName name="sdcsadSD" hidden="1">{"'REL CUSTODIF'!$B$1:$H$72"}</definedName>
    <definedName name="SDds" localSheetId="3" hidden="1">{"'REL CUSTODIF'!$B$1:$H$72"}</definedName>
    <definedName name="SDds" localSheetId="5" hidden="1">{"'REL CUSTODIF'!$B$1:$H$72"}</definedName>
    <definedName name="SDds" hidden="1">{"'REL CUSTODIF'!$B$1:$H$72"}</definedName>
    <definedName name="SDF" localSheetId="3" hidden="1">{"'REL CUSTODIF'!$B$1:$H$72"}</definedName>
    <definedName name="SDF" localSheetId="5" hidden="1">{"'REL CUSTODIF'!$B$1:$H$72"}</definedName>
    <definedName name="SDF" hidden="1">{"'REL CUSTODIF'!$B$1:$H$72"}</definedName>
    <definedName name="sdfa">#REF!</definedName>
    <definedName name="SDFFDFDF" localSheetId="3" hidden="1">{"'gráf jan00'!$A$1:$AK$41"}</definedName>
    <definedName name="SDFFDFDF" localSheetId="5" hidden="1">{"'gráf jan00'!$A$1:$AK$41"}</definedName>
    <definedName name="SDFFDFDF" hidden="1">{"'gráf jan00'!$A$1:$AK$41"}</definedName>
    <definedName name="sdSDs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SDs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Xsad" localSheetId="3" hidden="1">{"'REL CUSTODIF'!$B$1:$H$72"}</definedName>
    <definedName name="SDXsad" localSheetId="5" hidden="1">{"'REL CUSTODIF'!$B$1:$H$72"}</definedName>
    <definedName name="SDXsad" hidden="1">{"'REL CUSTODIF'!$B$1:$H$72"}</definedName>
    <definedName name="SE" localSheetId="3" hidden="1">{"'Quadro'!$A$4:$BG$78"}</definedName>
    <definedName name="SE" localSheetId="5" hidden="1">{"'Quadro'!$A$4:$BG$78"}</definedName>
    <definedName name="SE" hidden="1">{"'Quadro'!$A$4:$BG$78"}</definedName>
    <definedName name="SEDE">#REF!</definedName>
    <definedName name="SEDE1">#REF!</definedName>
    <definedName name="SEG">#REF!</definedName>
    <definedName name="segsdr" localSheetId="3" hidden="1">{#N/A,#N/A,FALSE,"PCOL"}</definedName>
    <definedName name="segsdr" localSheetId="5" hidden="1">{#N/A,#N/A,FALSE,"PCOL"}</definedName>
    <definedName name="segsdr" hidden="1">{#N/A,#N/A,FALSE,"PCOL"}</definedName>
    <definedName name="SeguroAcid.Trab.">#REF!</definedName>
    <definedName name="SeguroAdmLocal">#REF!</definedName>
    <definedName name="SeguroVida">#REF!</definedName>
    <definedName name="SeguroVidaEmGrupo">#REF!</definedName>
    <definedName name="seleção_rh">#REF!</definedName>
    <definedName name="SELEÇÃONUM">#REF!</definedName>
    <definedName name="SELO">#REF!</definedName>
    <definedName name="SELO_1">#REF!</definedName>
    <definedName name="SELO_1_2">#REF!</definedName>
    <definedName name="SELO_1_3">#REF!</definedName>
    <definedName name="SELO_2">#REF!</definedName>
    <definedName name="SELO_3">#REF!</definedName>
    <definedName name="SELO_4">#REF!</definedName>
    <definedName name="SEM">#REF!</definedName>
    <definedName name="SEMANA">#REF!</definedName>
    <definedName name="SEMANAS">#REF!</definedName>
    <definedName name="sencount" hidden="1">1</definedName>
    <definedName name="SENDPRINT">#REF!</definedName>
    <definedName name="SensAP">#REF!</definedName>
    <definedName name="SensibO">#REF!</definedName>
    <definedName name="SensOP">#REF!</definedName>
    <definedName name="SER" localSheetId="3" hidden="1">{"'Quadro'!$A$4:$BG$78"}</definedName>
    <definedName name="SER" localSheetId="5" hidden="1">{"'Quadro'!$A$4:$BG$78"}</definedName>
    <definedName name="SER" hidden="1">{"'Quadro'!$A$4:$BG$78"}</definedName>
    <definedName name="SERV">#REF!</definedName>
    <definedName name="serviço">#REF!</definedName>
    <definedName name="SET">#REF!</definedName>
    <definedName name="SETEMBRO" localSheetId="3" hidden="1">{#N/A,#N/A,TRUE,"Serviços"}</definedName>
    <definedName name="SETEMBRO" localSheetId="5" hidden="1">{#N/A,#N/A,TRUE,"Serviços"}</definedName>
    <definedName name="SETEMBRO" hidden="1">{#N/A,#N/A,TRUE,"Serviços"}</definedName>
    <definedName name="setoresNovos">#REF!</definedName>
    <definedName name="SETTINGSHEADER">#REF!</definedName>
    <definedName name="SETTINGSTABLE">#REF!</definedName>
    <definedName name="seveneight">#REF!</definedName>
    <definedName name="sevennine">#REF!</definedName>
    <definedName name="sevenseven">#REF!</definedName>
    <definedName name="sevenzero">#REF!</definedName>
    <definedName name="sewer">#REF!</definedName>
    <definedName name="SF" localSheetId="3" hidden="1">{"'Quadro'!$A$4:$BG$78"}</definedName>
    <definedName name="SF" localSheetId="5" hidden="1">{"'Quadro'!$A$4:$BG$78"}</definedName>
    <definedName name="SF" hidden="1">{"'Quadro'!$A$4:$BG$78"}</definedName>
    <definedName name="SFD" localSheetId="3" hidden="1">{"'Quadro'!$A$4:$BG$78"}</definedName>
    <definedName name="SFD" localSheetId="5" hidden="1">{"'Quadro'!$A$4:$BG$78"}</definedName>
    <definedName name="SFD" hidden="1">{"'Quadro'!$A$4:$BG$78"}</definedName>
    <definedName name="sfderfEWR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derfEWR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SFHJ" localSheetId="3" hidden="1">{"'Quadro'!$A$4:$BG$78"}</definedName>
    <definedName name="SFHJ" localSheetId="5" hidden="1">{"'Quadro'!$A$4:$BG$78"}</definedName>
    <definedName name="SFHJ" hidden="1">{"'Quadro'!$A$4:$BG$78"}</definedName>
    <definedName name="sfqefewfqeRW" localSheetId="3" hidden="1">{"'REL CUSTODIF'!$B$1:$H$72"}</definedName>
    <definedName name="sfqefewfqeRW" localSheetId="5" hidden="1">{"'REL CUSTODIF'!$B$1:$H$72"}</definedName>
    <definedName name="sfqefewfqeRW" hidden="1">{"'REL CUSTODIF'!$B$1:$H$72"}</definedName>
    <definedName name="SFQET" localSheetId="3" hidden="1">{"'REL CUSTODIF'!$B$1:$H$72"}</definedName>
    <definedName name="SFQET" localSheetId="5" hidden="1">{"'REL CUSTODIF'!$B$1:$H$72"}</definedName>
    <definedName name="SFQET" hidden="1">{"'REL CUSTODIF'!$B$1:$H$72"}</definedName>
    <definedName name="SFR" localSheetId="3" hidden="1">{"'Quadro'!$A$4:$BG$78"}</definedName>
    <definedName name="SFR" localSheetId="5" hidden="1">{"'Quadro'!$A$4:$BG$78"}</definedName>
    <definedName name="SFR" hidden="1">{"'Quadro'!$A$4:$BG$78"}</definedName>
    <definedName name="SGRG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GRG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EET">#REF!</definedName>
    <definedName name="SHHHHJ" localSheetId="3" hidden="1">{"'RR'!$A$2:$E$81"}</definedName>
    <definedName name="SHHHHJ" localSheetId="5" hidden="1">{"'RR'!$A$2:$E$81"}</definedName>
    <definedName name="SHHHHJ" hidden="1">{"'RR'!$A$2:$E$81"}</definedName>
    <definedName name="S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IH">#REF!</definedName>
    <definedName name="SIM">#REF!</definedName>
    <definedName name="SIMNAO">#REF!</definedName>
    <definedName name="SINALIZAÇÃO">#REF!</definedName>
    <definedName name="SIND">#REF!</definedName>
    <definedName name="SITE">#REF!</definedName>
    <definedName name="sites">#REF!</definedName>
    <definedName name="SIV">#REF!</definedName>
    <definedName name="sjp">#REF!</definedName>
    <definedName name="sm">#REF!</definedName>
    <definedName name="SMC">#REF!</definedName>
    <definedName name="SMT">#REF!</definedName>
    <definedName name="sof" localSheetId="3" hidden="1">{#N/A,#N/A,FALSE,"PCOL"}</definedName>
    <definedName name="sof" localSheetId="5" hidden="1">{#N/A,#N/A,FALSE,"PCOL"}</definedName>
    <definedName name="sof" hidden="1">{#N/A,#N/A,FALSE,"PCOL"}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>#REF!</definedName>
    <definedName name="soma_empregados">#REF!</definedName>
    <definedName name="SOMA2GER">#N/A</definedName>
    <definedName name="SOMAGER">#N/A</definedName>
    <definedName name="SOMAHHDIF">#REF!</definedName>
    <definedName name="sp">#REF!</definedName>
    <definedName name="SPWS_WBID">"D84F91B7-D043-11D4-AFFD-000629B5FC24"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hidden="1">#REF!</definedName>
    <definedName name="SSDF" localSheetId="3" hidden="1">{"'Quadro'!$A$4:$BG$78"}</definedName>
    <definedName name="SSDF" localSheetId="5" hidden="1">{"'Quadro'!$A$4:$BG$78"}</definedName>
    <definedName name="SSDF" hidden="1">{"'Quadro'!$A$4:$BG$78"}</definedName>
    <definedName name="SSNo">#REF!</definedName>
    <definedName name="SS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sss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ssssss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Yes">#REF!</definedName>
    <definedName name="STAL">#REF!</definedName>
    <definedName name="STATUS">OFFSET(#REF!,0,0,COUNTA(#REF!)-1,1)</definedName>
    <definedName name="stb">#REF!</definedName>
    <definedName name="struct">#REF!</definedName>
    <definedName name="Subestação">#REF!</definedName>
    <definedName name="SUBM">#REF!</definedName>
    <definedName name="SUBROTIMP">#N/A</definedName>
    <definedName name="SUBROTIMP1">#N/A</definedName>
    <definedName name="subt1">#REF!</definedName>
    <definedName name="subt10">#REF!</definedName>
    <definedName name="subt11">#REF!</definedName>
    <definedName name="subt12">#REF!</definedName>
    <definedName name="subt13">#REF!</definedName>
    <definedName name="subt14">#REF!</definedName>
    <definedName name="subt15">#REF!</definedName>
    <definedName name="subt16">#REF!</definedName>
    <definedName name="subt17">#REF!</definedName>
    <definedName name="subt18">#REF!</definedName>
    <definedName name="subt19">#REF!</definedName>
    <definedName name="subt2">#REF!</definedName>
    <definedName name="subt20">#REF!</definedName>
    <definedName name="subt21">#REF!</definedName>
    <definedName name="subt22">#REF!</definedName>
    <definedName name="subt23">#REF!</definedName>
    <definedName name="subt24">#REF!</definedName>
    <definedName name="subt25">#REF!</definedName>
    <definedName name="subt26">#REF!</definedName>
    <definedName name="subt27">#REF!</definedName>
    <definedName name="subt28">#REF!</definedName>
    <definedName name="subt29">#REF!</definedName>
    <definedName name="subt3">#REF!</definedName>
    <definedName name="subt30">#REF!</definedName>
    <definedName name="subt31">#REF!</definedName>
    <definedName name="subt32">#REF!</definedName>
    <definedName name="subt33">#REF!</definedName>
    <definedName name="subt34">#REF!</definedName>
    <definedName name="subt35">#REF!</definedName>
    <definedName name="subt36">#REF!</definedName>
    <definedName name="SUBT37">#REF!</definedName>
    <definedName name="subt38">#REF!</definedName>
    <definedName name="subt39">#REF!</definedName>
    <definedName name="subt4">#REF!</definedName>
    <definedName name="subt40">#REF!</definedName>
    <definedName name="subt41">#REF!</definedName>
    <definedName name="subt5">#REF!</definedName>
    <definedName name="subt6">#REF!</definedName>
    <definedName name="subt7">#REF!</definedName>
    <definedName name="subt8">#REF!</definedName>
    <definedName name="subt9">#REF!</definedName>
    <definedName name="SUBTOTAL">#REF!</definedName>
    <definedName name="subtrecho">#REF!</definedName>
    <definedName name="SUCCAO">#REF!</definedName>
    <definedName name="SUMMAVAIL">#REF!</definedName>
    <definedName name="SUMMDTL">#REF!</definedName>
    <definedName name="SUMMERY">#REF!</definedName>
    <definedName name="SUNHH">#N/A</definedName>
    <definedName name="SUNHH1">#N/A</definedName>
    <definedName name="Supr">#REF!</definedName>
    <definedName name="SV">#REF!</definedName>
    <definedName name="SWE" localSheetId="3" hidden="1">{"'Quadro'!$A$4:$BG$78"}</definedName>
    <definedName name="SWE" localSheetId="5" hidden="1">{"'Quadro'!$A$4:$BG$78"}</definedName>
    <definedName name="SWE" hidden="1">{"'Quadro'!$A$4:$BG$78"}</definedName>
    <definedName name="SWR" localSheetId="3" hidden="1">{"'Quadro'!$A$4:$BG$78"}</definedName>
    <definedName name="SWR" localSheetId="5" hidden="1">{"'Quadro'!$A$4:$BG$78"}</definedName>
    <definedName name="SWR" hidden="1">{"'Quadro'!$A$4:$BG$78"}</definedName>
    <definedName name="T">#N/A</definedName>
    <definedName name="TA">#REF!</definedName>
    <definedName name="TAB">#N/A</definedName>
    <definedName name="Tab_CPressao">#REF!</definedName>
    <definedName name="Tab_Diam">#REF!</definedName>
    <definedName name="tab_global">#REF!</definedName>
    <definedName name="tab_HH">#REF!</definedName>
    <definedName name="tab_Mat">#REF!</definedName>
    <definedName name="Tab_USD_Rate">#REF!</definedName>
    <definedName name="tab_valv">#REF!</definedName>
    <definedName name="TABAJHH">#REF!</definedName>
    <definedName name="TABAS">#REF!</definedName>
    <definedName name="tabdiv">#REF!</definedName>
    <definedName name="TABDIV1">#REF!</definedName>
    <definedName name="TABEK1">#REF!</definedName>
    <definedName name="TABEK11">#REF!</definedName>
    <definedName name="TABEK13">#REF!</definedName>
    <definedName name="TABEK14">#REF!</definedName>
    <definedName name="TABEK15">#REF!</definedName>
    <definedName name="TABEK3">#REF!</definedName>
    <definedName name="TABEK4">#REF!</definedName>
    <definedName name="TABEK5">#REF!</definedName>
    <definedName name="TABEK6">#REF!</definedName>
    <definedName name="TABEK7">#REF!</definedName>
    <definedName name="TABEK8">#REF!</definedName>
    <definedName name="TABEK9">#REF!</definedName>
    <definedName name="TABELA">#REF!</definedName>
    <definedName name="Tabela_Tarefas1">#REF!</definedName>
    <definedName name="tabelaDenominação">#REF!</definedName>
    <definedName name="TABELAS">#N/A</definedName>
    <definedName name="TABEQ">#REF!</definedName>
    <definedName name="TABESG">#REF!</definedName>
    <definedName name="tabiaq">#REF!</definedName>
    <definedName name="tabk1">#REF!</definedName>
    <definedName name="tabk13">#REF!</definedName>
    <definedName name="tabk14">#REF!</definedName>
    <definedName name="tabk15">#REF!</definedName>
    <definedName name="tabk3">#REF!</definedName>
    <definedName name="tabk5">#REF!</definedName>
    <definedName name="tabk6">#REF!</definedName>
    <definedName name="tabk7">#REF!</definedName>
    <definedName name="tabk8">#REF!</definedName>
    <definedName name="tabk9">#REF!</definedName>
    <definedName name="TABLE">#N/A</definedName>
    <definedName name="TABPAV">#REF!</definedName>
    <definedName name="tabPont">#REF!</definedName>
    <definedName name="TABPOR">#REF!</definedName>
    <definedName name="TABREF">#REF!</definedName>
    <definedName name="TABSAL">#REF!</definedName>
    <definedName name="tabtubo">#REF!</definedName>
    <definedName name="TABTUBOMM">#REF!</definedName>
    <definedName name="TACF">#REF!</definedName>
    <definedName name="TACI">#REF!</definedName>
    <definedName name="TACR">#REF!</definedName>
    <definedName name="TACS">#REF!</definedName>
    <definedName name="Tag_Carga">#REF!</definedName>
    <definedName name="Tag_CCM">#REF!</definedName>
    <definedName name="tank">#REF!</definedName>
    <definedName name="TAP">OFFSET(#REF!,1,0,COUNTA(#REF!)-1,1)</definedName>
    <definedName name="tas">#REF!</definedName>
    <definedName name="TaxasReal">#REF!</definedName>
    <definedName name="TaxaTag">#REF!</definedName>
    <definedName name="TaxaTaq">#REF!</definedName>
    <definedName name="TaxaUntag">#REF!</definedName>
    <definedName name="TB_GERACAO_PETRO_GAS">#REF!</definedName>
    <definedName name="TB_GERACAO_PETRO_GAS_CHAVES">#REF!</definedName>
    <definedName name="TB_GERACAO_PETRO_OLEO">#REF!</definedName>
    <definedName name="TB_GERACAO_PETRO_OLEO_CHAVES">#REF!</definedName>
    <definedName name="TB_GERACAO_TERC_GAS">#REF!</definedName>
    <definedName name="TB_GERACAO_TERC_GAS_CHAVES">#REF!</definedName>
    <definedName name="TB_GERACAO_TERC_OLEO">#REF!</definedName>
    <definedName name="TB_GERACAO_TERC_OLEO_CHAVES">#REF!</definedName>
    <definedName name="TBF">#REF!</definedName>
    <definedName name="TBLUNIT">#REF!</definedName>
    <definedName name="TECLA">#REF!</definedName>
    <definedName name="TEE_790">#REF!</definedName>
    <definedName name="TEE_790_SCH">#REF!</definedName>
    <definedName name="TEE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E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LABRANCO">#N/A</definedName>
    <definedName name="TELAPRES">#N/A</definedName>
    <definedName name="TELAS">#N/A</definedName>
    <definedName name="TEMP" localSheetId="3" hidden="1">{#N/A,#N/A,FALSE,"PCOL"}</definedName>
    <definedName name="TEMP" localSheetId="5" hidden="1">{#N/A,#N/A,FALSE,"PCOL"}</definedName>
    <definedName name="TEMP" hidden="1">{#N/A,#N/A,FALSE,"PCOL"}</definedName>
    <definedName name="tempo" localSheetId="3" hidden="1">{#N/A,#N/A,FALSE,"PCOL"}</definedName>
    <definedName name="tempo" localSheetId="5" hidden="1">{#N/A,#N/A,FALSE,"PCOL"}</definedName>
    <definedName name="tempo" hidden="1">{#N/A,#N/A,FALSE,"PCOL"}</definedName>
    <definedName name="ten">#REF!</definedName>
    <definedName name="Tendencia_SFim">#REF!</definedName>
    <definedName name="Tendencia_SInicio">#REF!</definedName>
    <definedName name="Tendencia_SPeriodo">#REF!</definedName>
    <definedName name="ter" hidden="1">#REF!</definedName>
    <definedName name="TERCDIV">#REF!</definedName>
    <definedName name="TERCDIV___0">#REF!</definedName>
    <definedName name="termino">#REF!</definedName>
    <definedName name="Tes">#REF!</definedName>
    <definedName name="test">#REF!</definedName>
    <definedName name="TESTAFUN">#REF!</definedName>
    <definedName name="TESTAQUANT1">#REF!</definedName>
    <definedName name="TESTAQUANT2">#REF!</definedName>
    <definedName name="teste">#REF!</definedName>
    <definedName name="teste_1">#REF!*2*9/1.23</definedName>
    <definedName name="teste1">#REF!</definedName>
    <definedName name="TESTE2">#REF!</definedName>
    <definedName name="teste3" localSheetId="3" hidden="1">{"'gráf jan00'!$A$1:$AK$41"}</definedName>
    <definedName name="teste3" localSheetId="5" hidden="1">{"'gráf jan00'!$A$1:$AK$41"}</definedName>
    <definedName name="teste3" hidden="1">{"'gráf jan00'!$A$1:$AK$41"}</definedName>
    <definedName name="TESTECODSEC">#REF!</definedName>
    <definedName name="TESTECODSERV">#REF!</definedName>
    <definedName name="TextRefCopyRangeCount" hidden="1">1</definedName>
    <definedName name="thmed">#REF!</definedName>
    <definedName name="thmin">#REF!</definedName>
    <definedName name="THR" localSheetId="3" hidden="1">{"'gráf jan00'!$A$1:$AK$41"}</definedName>
    <definedName name="THR" localSheetId="5" hidden="1">{"'gráf jan00'!$A$1:$AK$41"}</definedName>
    <definedName name="THR" hidden="1">{"'gráf jan00'!$A$1:$AK$41"}</definedName>
    <definedName name="threezero">#REF!</definedName>
    <definedName name="THTRHT" localSheetId="3" hidden="1">{"'gráf jan00'!$A$1:$AK$41"}</definedName>
    <definedName name="THTRHT" localSheetId="5" hidden="1">{"'gráf jan00'!$A$1:$AK$41"}</definedName>
    <definedName name="THTRHT" hidden="1">{"'gráf jan00'!$A$1:$AK$41"}</definedName>
    <definedName name="TI">#REF!</definedName>
    <definedName name="tile">#REF!</definedName>
    <definedName name="tina">#REF!</definedName>
    <definedName name="TINTA">#REF!</definedName>
    <definedName name="tip">#REF!</definedName>
    <definedName name="TIPO_AQUISICAO">#REF!</definedName>
    <definedName name="TIPO_DE_AQUISICAO">OFFSET(#REF!,0,0,COUNTA(#REF!)-1,1)</definedName>
    <definedName name="TipoEnergia">#REF!</definedName>
    <definedName name="Tipos">#REF!</definedName>
    <definedName name="TITLE">#REF!</definedName>
    <definedName name="TITULO">#REF!</definedName>
    <definedName name="_xlnm.Print_Titles" localSheetId="3">'Time line '!$1:$3</definedName>
    <definedName name="_xlnm.Print_Titles" localSheetId="5">'Time line  (2)'!$1:$3</definedName>
    <definedName name="_xlnm.Print_Titles">#N/A</definedName>
    <definedName name="Títulos_impressão_IM">#REF!</definedName>
    <definedName name="tjtrj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MO">#REF!</definedName>
    <definedName name="TOT">#REF!</definedName>
    <definedName name="TOTA">#REF!</definedName>
    <definedName name="TOTA___0">#REF!</definedName>
    <definedName name="TOTA1">#REF!</definedName>
    <definedName name="TOTA1___0">#REF!</definedName>
    <definedName name="TOTA2">#REF!</definedName>
    <definedName name="TOTA2___0">#REF!</definedName>
    <definedName name="TOTA3">#REF!</definedName>
    <definedName name="TOTA3___0">#REF!</definedName>
    <definedName name="TOTAA">#REF!</definedName>
    <definedName name="TOTAA___0">#REF!</definedName>
    <definedName name="TOTAIS">#REF!</definedName>
    <definedName name="TOTAISA">#REF!</definedName>
    <definedName name="TOTAISAH">#REF!</definedName>
    <definedName name="TOTAISH">#REF!</definedName>
    <definedName name="total">#REF!</definedName>
    <definedName name="TOTAL_3">#REF!</definedName>
    <definedName name="TOTAL_4">#REF!</definedName>
    <definedName name="TOTAL_5">#REF!</definedName>
    <definedName name="TOTAL_6">#REF!</definedName>
    <definedName name="TOTAL_7">#REF!</definedName>
    <definedName name="TOTAL_8">#REF!</definedName>
    <definedName name="Total_Alteamento">#N/A</definedName>
    <definedName name="Total_Canteiro">#N/A</definedName>
    <definedName name="TOTAL_COMPOSIÇÕES">#REF!</definedName>
    <definedName name="TOTAL_CUSTOS">#REF!</definedName>
    <definedName name="TOTAL_DIRETOS">#REF!</definedName>
    <definedName name="TOTAL_INDIRETOS">#REF!</definedName>
    <definedName name="Total_Obra">#N/A</definedName>
    <definedName name="Total_Ombreira">#N/A</definedName>
    <definedName name="TOTAL_PLANILHA_CLIENTE">#REF!</definedName>
    <definedName name="Total_US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2">#REF!</definedName>
    <definedName name="TOTAL3">#REF!</definedName>
    <definedName name="TOTAL3___0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IMENT">#REF!</definedName>
    <definedName name="TOTALANDEPINTURA">#REF!</definedName>
    <definedName name="TOTALCLP03">#REF!</definedName>
    <definedName name="TOTALCP">#REF!</definedName>
    <definedName name="TOTALCUSTOS">#REF!</definedName>
    <definedName name="TOTALCUSTOSDIRETOS">#REF!</definedName>
    <definedName name="TOTALEPI">#REF!</definedName>
    <definedName name="TOTALEQ">#N/A</definedName>
    <definedName name="TotalEquip">#REF!</definedName>
    <definedName name="TOTALFERRAMENTAS">#REF!</definedName>
    <definedName name="TotalFolha">#REF!</definedName>
    <definedName name="TOTALGER">#REF!</definedName>
    <definedName name="TOTALIM">#REF!</definedName>
    <definedName name="TOTALIZACP">#REF!</definedName>
    <definedName name="TOTALIZAEQUIP">#REF!</definedName>
    <definedName name="TOTALIZAFUN">#REF!</definedName>
    <definedName name="TOTALIZAHH">#REF!</definedName>
    <definedName name="TOTALIZAMAT">#REF!</definedName>
    <definedName name="TOTALLINHAS">#REF!</definedName>
    <definedName name="TotalMateriais">#REF!</definedName>
    <definedName name="TotalMO">#REF!</definedName>
    <definedName name="TOTALMOBILIZAÇÃO">#REF!</definedName>
    <definedName name="TOTALMODI">#REF!</definedName>
    <definedName name="TOTALOUTROS">#REF!</definedName>
    <definedName name="TotalServiços">#REF!</definedName>
    <definedName name="TotalTransp">#REF!</definedName>
    <definedName name="TOTALVEÍCULOS">#REF!</definedName>
    <definedName name="TOTAPOIO">#REF!</definedName>
    <definedName name="TOTB">#REF!</definedName>
    <definedName name="TOTB___0">#REF!</definedName>
    <definedName name="TOTB1">#REF!</definedName>
    <definedName name="TOTB1___0">#REF!</definedName>
    <definedName name="TOTB2">#REF!</definedName>
    <definedName name="TOTB2___0">#REF!</definedName>
    <definedName name="TOTB3">#REF!</definedName>
    <definedName name="TOTB3___0">#REF!</definedName>
    <definedName name="TOTB4">#REF!</definedName>
    <definedName name="TOTB4___0">#REF!</definedName>
    <definedName name="TOTB5">#REF!</definedName>
    <definedName name="TOTB5___0">#REF!</definedName>
    <definedName name="TOTBDI">#REF!</definedName>
    <definedName name="TOTC">#REF!</definedName>
    <definedName name="TOTC___0">#REF!</definedName>
    <definedName name="TOTC1">#REF!</definedName>
    <definedName name="TOTC1___0">#REF!</definedName>
    <definedName name="TOTC2">#REF!</definedName>
    <definedName name="TOTC2___0">#REF!</definedName>
    <definedName name="TOTC3">#REF!</definedName>
    <definedName name="TOTC3___0">#REF!</definedName>
    <definedName name="TOTCOMP">#REF!</definedName>
    <definedName name="TOTCP">#REF!</definedName>
    <definedName name="TOTCUSTOS">#REF!</definedName>
    <definedName name="TOTD">#REF!</definedName>
    <definedName name="TOTD___0">#REF!</definedName>
    <definedName name="TOTD1">#REF!</definedName>
    <definedName name="TOTD1___0">#REF!</definedName>
    <definedName name="TOTD2">#REF!</definedName>
    <definedName name="TOTD2___0">#REF!</definedName>
    <definedName name="TOTEPI">#REF!</definedName>
    <definedName name="TOTEQDIV">#REF!</definedName>
    <definedName name="TOTEQESP">#REF!</definedName>
    <definedName name="TOTEQUIP">#REF!</definedName>
    <definedName name="TOTEXAM">#REF!</definedName>
    <definedName name="TOTHE">#REF!</definedName>
    <definedName name="TOTHH">#REF!</definedName>
    <definedName name="TOTHHFUN">#N/A</definedName>
    <definedName name="TOTHORASGER">#N/A</definedName>
    <definedName name="TOTMAT">#REF!</definedName>
    <definedName name="TOTMATCO">#REF!</definedName>
    <definedName name="TOTMATPE">#REF!</definedName>
    <definedName name="TOTMOD">#REF!</definedName>
    <definedName name="TOTQUANTMAT">#REF!</definedName>
    <definedName name="TOTTRANS">#REF!</definedName>
    <definedName name="TPEADS">#REF!</definedName>
    <definedName name="TPVCR">#REF!</definedName>
    <definedName name="TPVCS">#REF!</definedName>
    <definedName name="TR">#REF!</definedName>
    <definedName name="TRA">#REF!</definedName>
    <definedName name="tran" localSheetId="3" hidden="1">{"'Quadro'!$A$4:$BG$78"}</definedName>
    <definedName name="tran" localSheetId="5" hidden="1">{"'Quadro'!$A$4:$BG$78"}</definedName>
    <definedName name="tran" hidden="1">{"'Quadro'!$A$4:$BG$78"}</definedName>
    <definedName name="TRANS">#REF!</definedName>
    <definedName name="transp36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p36a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TRANSUNIT">#REF!</definedName>
    <definedName name="trecho">#REF!</definedName>
    <definedName name="Treinamento">#REF!</definedName>
    <definedName name="TREINAMENTO_RAC">#REF!</definedName>
    <definedName name="TreinamentoAdmLocal">#REF!</definedName>
    <definedName name="TreinamentoMOD">#REF!</definedName>
    <definedName name="trem" localSheetId="3" hidden="1">{"'gráf jan00'!$A$1:$AK$41"}</definedName>
    <definedName name="trem" localSheetId="5" hidden="1">{"'gráf jan00'!$A$1:$AK$41"}</definedName>
    <definedName name="trem" hidden="1">{"'gráf jan00'!$A$1:$AK$41"}</definedName>
    <definedName name="TR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ezeabril" localSheetId="3" hidden="1">{"'gráf jan00'!$A$1:$AK$41"}</definedName>
    <definedName name="trezeabril" localSheetId="5" hidden="1">{"'gráf jan00'!$A$1:$AK$41"}</definedName>
    <definedName name="trezeabril" hidden="1">{"'gráf jan00'!$A$1:$AK$41"}</definedName>
    <definedName name="TREZEABRILL" localSheetId="3" hidden="1">{"'gráf jan00'!$A$1:$AK$41"}</definedName>
    <definedName name="TREZEABRILL" localSheetId="5" hidden="1">{"'gráf jan00'!$A$1:$AK$41"}</definedName>
    <definedName name="TREZEABRILL" hidden="1">{"'gráf jan00'!$A$1:$AK$41"}</definedName>
    <definedName name="trezeagosto" localSheetId="3" hidden="1">{"'gráf jan00'!$A$1:$AK$41"}</definedName>
    <definedName name="trezeagosto" localSheetId="5" hidden="1">{"'gráf jan00'!$A$1:$AK$41"}</definedName>
    <definedName name="trezeagosto" hidden="1">{"'gráf jan00'!$A$1:$AK$41"}</definedName>
    <definedName name="trezeagosto2" localSheetId="3" hidden="1">{"'gráf jan00'!$A$1:$AK$41"}</definedName>
    <definedName name="trezeagosto2" localSheetId="5" hidden="1">{"'gráf jan00'!$A$1:$AK$41"}</definedName>
    <definedName name="trezeagosto2" hidden="1">{"'gráf jan00'!$A$1:$AK$41"}</definedName>
    <definedName name="trezeagosto3" localSheetId="3" hidden="1">{"'gráf jan00'!$A$1:$AK$41"}</definedName>
    <definedName name="trezeagosto3" localSheetId="5" hidden="1">{"'gráf jan00'!$A$1:$AK$41"}</definedName>
    <definedName name="trezeagosto3" hidden="1">{"'gráf jan00'!$A$1:$AK$41"}</definedName>
    <definedName name="trezeagosto4" localSheetId="3" hidden="1">{"'gráf jan00'!$A$1:$AK$41"}</definedName>
    <definedName name="trezeagosto4" localSheetId="5" hidden="1">{"'gráf jan00'!$A$1:$AK$41"}</definedName>
    <definedName name="trezeagosto4" hidden="1">{"'gráf jan00'!$A$1:$AK$41"}</definedName>
    <definedName name="trezeagosto5" localSheetId="3" hidden="1">{"'gráf jan00'!$A$1:$AK$41"}</definedName>
    <definedName name="trezeagosto5" localSheetId="5" hidden="1">{"'gráf jan00'!$A$1:$AK$41"}</definedName>
    <definedName name="trezeagosto5" hidden="1">{"'gráf jan00'!$A$1:$AK$41"}</definedName>
    <definedName name="trezeagosto6" localSheetId="3" hidden="1">{"'gráf jan00'!$A$1:$AK$41"}</definedName>
    <definedName name="trezeagosto6" localSheetId="5" hidden="1">{"'gráf jan00'!$A$1:$AK$41"}</definedName>
    <definedName name="trezeagosto6" hidden="1">{"'gráf jan00'!$A$1:$AK$41"}</definedName>
    <definedName name="trezeagosto7" localSheetId="3" hidden="1">{"'gráf jan00'!$A$1:$AK$41"}</definedName>
    <definedName name="trezeagosto7" localSheetId="5" hidden="1">{"'gráf jan00'!$A$1:$AK$41"}</definedName>
    <definedName name="trezeagosto7" hidden="1">{"'gráf jan00'!$A$1:$AK$41"}</definedName>
    <definedName name="trezeagosto8" localSheetId="3" hidden="1">{"'gráf jan00'!$A$1:$AK$41"}</definedName>
    <definedName name="trezeagosto8" localSheetId="5" hidden="1">{"'gráf jan00'!$A$1:$AK$41"}</definedName>
    <definedName name="trezeagosto8" hidden="1">{"'gráf jan00'!$A$1:$AK$41"}</definedName>
    <definedName name="trezejulho" localSheetId="3" hidden="1">{"'gráf jan00'!$A$1:$AK$41"}</definedName>
    <definedName name="trezejulho" localSheetId="5" hidden="1">{"'gráf jan00'!$A$1:$AK$41"}</definedName>
    <definedName name="trezejulho" hidden="1">{"'gráf jan00'!$A$1:$AK$41"}</definedName>
    <definedName name="trezejulho2" localSheetId="3" hidden="1">{"'gráf jan00'!$A$1:$AK$41"}</definedName>
    <definedName name="trezejulho2" localSheetId="5" hidden="1">{"'gráf jan00'!$A$1:$AK$41"}</definedName>
    <definedName name="trezejulho2" hidden="1">{"'gráf jan00'!$A$1:$AK$41"}</definedName>
    <definedName name="trezejulho3" localSheetId="3" hidden="1">{"'gráf jan00'!$A$1:$AK$41"}</definedName>
    <definedName name="trezejulho3" localSheetId="5" hidden="1">{"'gráf jan00'!$A$1:$AK$41"}</definedName>
    <definedName name="trezejulho3" hidden="1">{"'gráf jan00'!$A$1:$AK$41"}</definedName>
    <definedName name="trezejun" localSheetId="3" hidden="1">{"'gráf jan00'!$A$1:$AK$41"}</definedName>
    <definedName name="trezejun" localSheetId="5" hidden="1">{"'gráf jan00'!$A$1:$AK$41"}</definedName>
    <definedName name="trezejun" hidden="1">{"'gráf jan00'!$A$1:$AK$41"}</definedName>
    <definedName name="trezejunho" localSheetId="3" hidden="1">{"'gráf jan00'!$A$1:$AK$41"}</definedName>
    <definedName name="trezejunho" localSheetId="5" hidden="1">{"'gráf jan00'!$A$1:$AK$41"}</definedName>
    <definedName name="trezejunho" hidden="1">{"'gráf jan00'!$A$1:$AK$41"}</definedName>
    <definedName name="trezejunnho" localSheetId="3" hidden="1">{"'gráf jan00'!$A$1:$AK$41"}</definedName>
    <definedName name="trezejunnho" localSheetId="5" hidden="1">{"'gráf jan00'!$A$1:$AK$41"}</definedName>
    <definedName name="trezejunnho" hidden="1">{"'gráf jan00'!$A$1:$AK$41"}</definedName>
    <definedName name="trezemarço" localSheetId="3" hidden="1">{"'gráf jan00'!$A$1:$AK$41"}</definedName>
    <definedName name="trezemarço" localSheetId="5" hidden="1">{"'gráf jan00'!$A$1:$AK$41"}</definedName>
    <definedName name="trezemarço" hidden="1">{"'gráf jan00'!$A$1:$AK$41"}</definedName>
    <definedName name="TROC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P">#REF!</definedName>
    <definedName name="trt" localSheetId="3" hidden="1">{"'gráf jan00'!$A$1:$AK$41"}</definedName>
    <definedName name="trt" localSheetId="5" hidden="1">{"'gráf jan00'!$A$1:$AK$41"}</definedName>
    <definedName name="trt" hidden="1">{"'gráf jan00'!$A$1:$AK$41"}</definedName>
    <definedName name="TRYGTRHGASR" localSheetId="3" hidden="1">{#N/A,#N/A,FALSE,"Suprimentos";#N/A,#N/A,FALSE,"Medicina e Segurança";#N/A,#N/A,FALSE,"Administração";#N/A,#N/A,FALSE,"Meio Ambiente";#N/A,#N/A,FALSE,"Operação (Mina)";#N/A,#N/A,FALSE,"Operação (Porto)"}</definedName>
    <definedName name="TRYGTRHGASR" localSheetId="5" hidden="1">{#N/A,#N/A,FALSE,"Suprimentos";#N/A,#N/A,FALSE,"Medicina e Segurança";#N/A,#N/A,FALSE,"Administração";#N/A,#N/A,FALSE,"Meio Ambiente";#N/A,#N/A,FALSE,"Operação (Mina)";#N/A,#N/A,FALSE,"Operação (Porto)"}</definedName>
    <definedName name="TRYGTRHGASR" hidden="1">{#N/A,#N/A,FALSE,"Suprimentos";#N/A,#N/A,FALSE,"Medicina e Segurança";#N/A,#N/A,FALSE,"Administração";#N/A,#N/A,FALSE,"Meio Ambiente";#N/A,#N/A,FALSE,"Operação (Mina)";#N/A,#N/A,FALSE,"Operação (Porto)"}</definedName>
    <definedName name="TRYU" localSheetId="3" hidden="1">{"'Quadro'!$A$4:$BG$78"}</definedName>
    <definedName name="TRYU" localSheetId="5" hidden="1">{"'Quadro'!$A$4:$BG$78"}</definedName>
    <definedName name="TRYU" hidden="1">{"'Quadro'!$A$4:$BG$78"}</definedName>
    <definedName name="tst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st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TT" localSheetId="3" hidden="1">{#N/A,#N/A,FALSE,"ET-CAPA";#N/A,#N/A,FALSE,"ET-PAG1";#N/A,#N/A,FALSE,"ET-PAG2";#N/A,#N/A,FALSE,"ET-PAG3";#N/A,#N/A,FALSE,"ET-PAG4";#N/A,#N/A,FALSE,"ET-PAG5"}</definedName>
    <definedName name="TT" localSheetId="5" hidden="1">{#N/A,#N/A,FALSE,"ET-CAPA";#N/A,#N/A,FALSE,"ET-PAG1";#N/A,#N/A,FALSE,"ET-PAG2";#N/A,#N/A,FALSE,"ET-PAG3";#N/A,#N/A,FALSE,"ET-PAG4";#N/A,#N/A,FALSE,"ET-PAG5"}</definedName>
    <definedName name="TT" hidden="1">{#N/A,#N/A,FALSE,"ET-CAPA";#N/A,#N/A,FALSE,"ET-PAG1";#N/A,#N/A,FALSE,"ET-PAG2";#N/A,#N/A,FALSE,"ET-PAG3";#N/A,#N/A,FALSE,"ET-PAG4";#N/A,#N/A,FALSE,"ET-PAG5"}</definedName>
    <definedName name="TTER" localSheetId="3" hidden="1">{"'Quadro'!$A$4:$BG$78"}</definedName>
    <definedName name="TTER" localSheetId="5" hidden="1">{"'Quadro'!$A$4:$BG$78"}</definedName>
    <definedName name="TTER" hidden="1">{"'Quadro'!$A$4:$BG$78"}</definedName>
    <definedName name="TTLCUSTOSINDIRETOS">#REF!</definedName>
    <definedName name="TTRGHT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RGHT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TT">#REF!</definedName>
    <definedName name="tttt">#REF!</definedName>
    <definedName name="ttttt">#REF!</definedName>
    <definedName name="ttvdwd">#REF!*2*9/1.23</definedName>
    <definedName name="TUBO">#REF!</definedName>
    <definedName name="TUBO_1">#REF!</definedName>
    <definedName name="TUBO_1_2">#REF!</definedName>
    <definedName name="TUBO_1_3">#REF!</definedName>
    <definedName name="TUBO_2">#REF!</definedName>
    <definedName name="TUBO_3">#REF!</definedName>
    <definedName name="TUBO_4">#REF!</definedName>
    <definedName name="Tubos_PRFV">#REF!</definedName>
    <definedName name="Tubulacao">#REF!</definedName>
    <definedName name="TUBULAÇÃO">#REF!</definedName>
    <definedName name="turno">#REF!</definedName>
    <definedName name="twoone">#REF!</definedName>
    <definedName name="twozero">#REF!</definedName>
    <definedName name="TXREMATI">#REF!</definedName>
    <definedName name="tyjtykj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U" localSheetId="3" hidden="1">{"'Quadro'!$A$4:$BG$78"}</definedName>
    <definedName name="TYU" localSheetId="5" hidden="1">{"'Quadro'!$A$4:$BG$78"}</definedName>
    <definedName name="TYU" hidden="1">{"'Quadro'!$A$4:$BG$78"}</definedName>
    <definedName name="TYUIO" localSheetId="3" hidden="1">{#N/A,#N/A,TRUE,"Serviços"}</definedName>
    <definedName name="TYUIO" localSheetId="5" hidden="1">{#N/A,#N/A,TRUE,"Serviços"}</definedName>
    <definedName name="TYUIO" hidden="1">{#N/A,#N/A,TRUE,"Serviços"}</definedName>
    <definedName name="U">#N/A</definedName>
    <definedName name="UGCCATDT" localSheetId="3">#REF!</definedName>
    <definedName name="UGCCATDT" localSheetId="5">#REF!</definedName>
    <definedName name="UGCCATDT">#REF!</definedName>
    <definedName name="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m" hidden="1">{#N/A,#N/A,FALSE,"Cronograma";#N/A,#N/A,FALSE,"Cronogr. 2"}</definedName>
    <definedName name="UMT">#REF!</definedName>
    <definedName name="UND">#REF!</definedName>
    <definedName name="UNI">#REF!</definedName>
    <definedName name="UNIDADE">OFFSET(#REF!,0,0,COUNTA(#REF!)-1,1)</definedName>
    <definedName name="UNIDADES">#REF!</definedName>
    <definedName name="UNIFORME">#REF!</definedName>
    <definedName name="UNITALIM">#REF!</definedName>
    <definedName name="UNITAPOIO">#REF!</definedName>
    <definedName name="UNITEPI">#REF!</definedName>
    <definedName name="UNITEQDIV">#REF!</definedName>
    <definedName name="UNITEXAM">#REF!</definedName>
    <definedName name="UNITHE">#REF!</definedName>
    <definedName name="UNITS">#REF!</definedName>
    <definedName name="UNITTRANS">#REF!</definedName>
    <definedName name="uoluyk" localSheetId="3" hidden="1">{#N/A,#N/A,TRUE,"indice";#N/A,#N/A,TRUE,"indicadores";#N/A,#N/A,TRUE,"comentarios"}</definedName>
    <definedName name="uoluyk" localSheetId="5" hidden="1">{#N/A,#N/A,TRUE,"indice";#N/A,#N/A,TRUE,"indicadores";#N/A,#N/A,TRUE,"comentarios"}</definedName>
    <definedName name="uoluyk" hidden="1">{#N/A,#N/A,TRUE,"indice";#N/A,#N/A,TRUE,"indicadores";#N/A,#N/A,TRUE,"comentarios"}</definedName>
    <definedName name="Upvc_2001">#REF!</definedName>
    <definedName name="UPVC_99">#REF!</definedName>
    <definedName name="US">#REF!</definedName>
    <definedName name="USDOLAR">#REF!</definedName>
    <definedName name="usimin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simin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tensílio">#REF!</definedName>
    <definedName name="Utensílios">#REF!</definedName>
    <definedName name="Utensílios1">#REF!</definedName>
    <definedName name="uu" localSheetId="3" hidden="1">{"'REL CUSTODIF'!$B$1:$H$72"}</definedName>
    <definedName name="uu" localSheetId="5" hidden="1">{"'REL CUSTODIF'!$B$1:$H$72"}</definedName>
    <definedName name="uu" hidden="1">{"'REL CUSTODIF'!$B$1:$H$72"}</definedName>
    <definedName name="uuu" localSheetId="3" hidden="1">{#N/A,#N/A,TRUE,"Serviços"}</definedName>
    <definedName name="uuu" localSheetId="5" hidden="1">{#N/A,#N/A,TRUE,"Serviços"}</definedName>
    <definedName name="uuu" hidden="1">{#N/A,#N/A,TRUE,"Serviços"}</definedName>
    <definedName name="UUUUUUU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UUUUUU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" localSheetId="3" hidden="1">{#N/A,#N/A,FALSE,"PCOL"}</definedName>
    <definedName name="v" localSheetId="5" hidden="1">{#N/A,#N/A,FALSE,"PCOL"}</definedName>
    <definedName name="v" hidden="1">{#N/A,#N/A,FALSE,"PCOL"}</definedName>
    <definedName name="VA">#REF!</definedName>
    <definedName name="VADSV" localSheetId="3" hidden="1">{"'REL CUSTODIF'!$B$1:$H$72"}</definedName>
    <definedName name="VADSV" localSheetId="5" hidden="1">{"'REL CUSTODIF'!$B$1:$H$72"}</definedName>
    <definedName name="VADSV" hidden="1">{"'REL CUSTODIF'!$B$1:$H$72"}</definedName>
    <definedName name="ValAAn">#REF!</definedName>
    <definedName name="ValAAnrl">#REF!</definedName>
    <definedName name="ValAcu">#REF!</definedName>
    <definedName name="ValAcurl">#REF!</definedName>
    <definedName name="Valchv">#REF!</definedName>
    <definedName name="Valchvrl">#REF!</definedName>
    <definedName name="VALE">#REF!</definedName>
    <definedName name="VALHH">#N/A</definedName>
    <definedName name="VALHH1">#N/A</definedName>
    <definedName name="VALHH2">#N/A</definedName>
    <definedName name="VALHH3">#N/A</definedName>
    <definedName name="VALHH4">#N/A</definedName>
    <definedName name="VALHHGER">#N/A</definedName>
    <definedName name="Validade">#REF!</definedName>
    <definedName name="VALIDFORMAT">#REF!</definedName>
    <definedName name="Valmes">#REF!</definedName>
    <definedName name="ValMesRL">#REF!</definedName>
    <definedName name="ValMesUS">#REF!</definedName>
    <definedName name="Valor">#REF!</definedName>
    <definedName name="VALORALIM">#REF!</definedName>
    <definedName name="VALORAPOIO">#REF!</definedName>
    <definedName name="VALORBDI">#REF!</definedName>
    <definedName name="valorcant">#REF!</definedName>
    <definedName name="VALORCUSTO">#REF!</definedName>
    <definedName name="VALOREPI">#REF!</definedName>
    <definedName name="VALOREQDIV">#REF!</definedName>
    <definedName name="VALOREQESP">#REF!</definedName>
    <definedName name="VALORES_VALORES_Listar">#REF!</definedName>
    <definedName name="VALORESTABDIV">#REF!</definedName>
    <definedName name="VALOREXAM">#REF!</definedName>
    <definedName name="VALORFEC">#REF!</definedName>
    <definedName name="VALORHORASEXTRA">#REF!</definedName>
    <definedName name="VALORMATCO">#REF!</definedName>
    <definedName name="VALORMATPE">#REF!</definedName>
    <definedName name="VALORMOD">#REF!</definedName>
    <definedName name="VALORSUB">#REF!</definedName>
    <definedName name="VALORTRANS">#REF!</definedName>
    <definedName name="VALSUBEMP">#REF!</definedName>
    <definedName name="VAZAO">#REF!</definedName>
    <definedName name="VB">#REF!</definedName>
    <definedName name="vbvhvghfgf">#REF!</definedName>
    <definedName name="VC">#REF!</definedName>
    <definedName name="VEÍCULOS">#REF!</definedName>
    <definedName name="VENDA">#REF!</definedName>
    <definedName name="VENDA___0">#REF!</definedName>
    <definedName name="Verb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erb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FG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OL_ACUM">#REF!</definedName>
    <definedName name="Volaan">#REF!</definedName>
    <definedName name="Volacu">#REF!</definedName>
    <definedName name="VolFAT">#REF!</definedName>
    <definedName name="Volmes">#REF!</definedName>
    <definedName name="VOLUME">#REF!</definedName>
    <definedName name="vp" localSheetId="3" hidden="1">{"'Quadro'!$A$4:$BG$78"}</definedName>
    <definedName name="vp" localSheetId="5" hidden="1">{"'Quadro'!$A$4:$BG$78"}</definedName>
    <definedName name="vp" hidden="1">{"'Quadro'!$A$4:$BG$78"}</definedName>
    <definedName name="VR">#REF!</definedName>
    <definedName name="vs">#REF!</definedName>
    <definedName name="VT">#REF!</definedName>
    <definedName name="VV">#REF!</definedName>
    <definedName name="vvvvv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vvvv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vxs" localSheetId="3" hidden="1">{"'RR'!$A$2:$E$81"}</definedName>
    <definedName name="vxs" localSheetId="5" hidden="1">{"'RR'!$A$2:$E$81"}</definedName>
    <definedName name="vxs" hidden="1">{"'RR'!$A$2:$E$81"}</definedName>
    <definedName name="w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acc">#REF!</definedName>
    <definedName name="wadfaw" localSheetId="3" hidden="1">{#N/A,#N/A,TRUE,"indice";#N/A,#N/A,TRUE,"indicadores";#N/A,#N/A,TRUE,"comentarios"}</definedName>
    <definedName name="wadfaw" localSheetId="5" hidden="1">{#N/A,#N/A,TRUE,"indice";#N/A,#N/A,TRUE,"indicadores";#N/A,#N/A,TRUE,"comentarios"}</definedName>
    <definedName name="wadfaw" hidden="1">{#N/A,#N/A,TRUE,"indice";#N/A,#N/A,TRUE,"indicadores";#N/A,#N/A,TRUE,"comentarios"}</definedName>
    <definedName name="Wagua">#REF!</definedName>
    <definedName name="water">#REF!</definedName>
    <definedName name="WDASD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ASD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dewdwd" localSheetId="3" hidden="1">{#N/A,#N/A,FALSE,"PCOL"}</definedName>
    <definedName name="wdewdwd" localSheetId="5" hidden="1">{#N/A,#N/A,FALSE,"PCOL"}</definedName>
    <definedName name="wdewdwd" hidden="1">{#N/A,#N/A,FALSE,"PCOL"}</definedName>
    <definedName name="wdwd" localSheetId="3" hidden="1">{#N/A,#N/A,FALSE,"PCOL"}</definedName>
    <definedName name="wdwd" localSheetId="5" hidden="1">{#N/A,#N/A,FALSE,"PCOL"}</definedName>
    <definedName name="wdwd" hidden="1">{#N/A,#N/A,FALSE,"PCOL"}</definedName>
    <definedName name="wedwedw" localSheetId="3" hidden="1">{#N/A,#N/A,FALSE,"PCOL"}</definedName>
    <definedName name="wedwedw" localSheetId="5" hidden="1">{#N/A,#N/A,FALSE,"PCOL"}</definedName>
    <definedName name="wedwedw" hidden="1">{#N/A,#N/A,FALSE,"PCOL"}</definedName>
    <definedName name="wedwew" localSheetId="3" hidden="1">{#N/A,#N/A,FALSE,"PCOL"}</definedName>
    <definedName name="wedwew" localSheetId="5" hidden="1">{#N/A,#N/A,FALSE,"PCOL"}</definedName>
    <definedName name="wedwew" hidden="1">{#N/A,#N/A,FALSE,"PCOL"}</definedName>
    <definedName name="wewe" localSheetId="3" hidden="1">{#N/A,#N/A,FALSE,"PCOL"}</definedName>
    <definedName name="wewe" localSheetId="5" hidden="1">{#N/A,#N/A,FALSE,"PCOL"}</definedName>
    <definedName name="wewe" hidden="1">{#N/A,#N/A,FALSE,"PCOL"}</definedName>
    <definedName name="wewedwedw" localSheetId="3" hidden="1">{#N/A,#N/A,FALSE,"PCOL"}</definedName>
    <definedName name="wewedwedw" localSheetId="5" hidden="1">{#N/A,#N/A,FALSE,"PCOL"}</definedName>
    <definedName name="wewedwedw" hidden="1">{#N/A,#N/A,FALSE,"PCOL"}</definedName>
    <definedName name="wewew" localSheetId="3" hidden="1">{#N/A,#N/A,FALSE,"PCOL"}</definedName>
    <definedName name="wewew" localSheetId="5" hidden="1">{#N/A,#N/A,FALSE,"PCOL"}</definedName>
    <definedName name="wewew" hidden="1">{#N/A,#N/A,FALSE,"PCOL"}</definedName>
    <definedName name="WITHPOPUP">#REF!</definedName>
    <definedName name="wn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pipe">#REF!</definedName>
    <definedName name="WQ" localSheetId="3" hidden="1">{#N/A,#N/A,FALSE,"ET-CAPA";#N/A,#N/A,FALSE,"ET-PAG1";#N/A,#N/A,FALSE,"ET-PAG2";#N/A,#N/A,FALSE,"ET-PAG3";#N/A,#N/A,FALSE,"ET-PAG4";#N/A,#N/A,FALSE,"ET-PAG5"}</definedName>
    <definedName name="WQ" localSheetId="5" hidden="1">{#N/A,#N/A,FALSE,"ET-CAPA";#N/A,#N/A,FALSE,"ET-PAG1";#N/A,#N/A,FALSE,"ET-PAG2";#N/A,#N/A,FALSE,"ET-PAG3";#N/A,#N/A,FALSE,"ET-PAG4";#N/A,#N/A,FALSE,"ET-PAG5"}</definedName>
    <definedName name="WQ" hidden="1">{#N/A,#N/A,FALSE,"ET-CAPA";#N/A,#N/A,FALSE,"ET-PAG1";#N/A,#N/A,FALSE,"ET-PAG2";#N/A,#N/A,FALSE,"ET-PAG3";#N/A,#N/A,FALSE,"ET-PAG4";#N/A,#N/A,FALSE,"ET-PAG5"}</definedName>
    <definedName name="WR" localSheetId="3" hidden="1">{"'Quadro'!$A$4:$BG$78"}</definedName>
    <definedName name="WR" localSheetId="5" hidden="1">{"'Quadro'!$A$4:$BG$78"}</definedName>
    <definedName name="WR" hidden="1">{"'Quadro'!$A$4:$BG$78"}</definedName>
    <definedName name="wrn.1000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0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1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60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Tabs._.for._.Ken." localSheetId="3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localSheetId="5" hidden="1">{#N/A,#N/A,FALSE,"CW Summary";#N/A,#N/A,FALSE,"Weekly Tracking";#N/A,#N/A,FALSE,"MSA";#N/A,#N/A,FALSE,"Parts";#N/A,#N/A,FALSE,"RS";#N/A,#N/A,FALSE,"Mods";#N/A,#N/A,FALSE,"GEVISA";#N/A,#N/A,FALSE,"HQ"}</definedName>
    <definedName name="wrn.All._.Tabs._.for._.Ken." hidden="1">{#N/A,#N/A,FALSE,"CW Summary";#N/A,#N/A,FALSE,"Weekly Tracking";#N/A,#N/A,FALSE,"MSA";#N/A,#N/A,FALSE,"Parts";#N/A,#N/A,FALSE,"RS";#N/A,#N/A,FALSE,"Mods";#N/A,#N/A,FALSE,"GEVISA";#N/A,#N/A,FALSE,"HQ"}</definedName>
    <definedName name="wrn.BB1." localSheetId="3" hidden="1">{#N/A,#N/A,FALSE,"RESUMO-BB1";#N/A,#N/A,FALSE,"MOD-A01-R - BB1";#N/A,#N/A,FALSE,"URB-BB1"}</definedName>
    <definedName name="wrn.BB1." localSheetId="5" hidden="1">{#N/A,#N/A,FALSE,"RESUMO-BB1";#N/A,#N/A,FALSE,"MOD-A01-R - BB1";#N/A,#N/A,FALSE,"URB-BB1"}</definedName>
    <definedName name="wrn.BB1." hidden="1">{#N/A,#N/A,FALSE,"RESUMO-BB1";#N/A,#N/A,FALSE,"MOD-A01-R - BB1";#N/A,#N/A,FALSE,"URB-BB1"}</definedName>
    <definedName name="wrn.BB2" localSheetId="3" hidden="1">{#N/A,#N/A,FALSE,"RESUMO-BB1";#N/A,#N/A,FALSE,"MOD-A01-R - BB1";#N/A,#N/A,FALSE,"URB-BB1"}</definedName>
    <definedName name="wrn.BB2" localSheetId="5" hidden="1">{#N/A,#N/A,FALSE,"RESUMO-BB1";#N/A,#N/A,FALSE,"MOD-A01-R - BB1";#N/A,#N/A,FALSE,"URB-BB1"}</definedName>
    <definedName name="wrn.BB2" hidden="1">{#N/A,#N/A,FALSE,"RESUMO-BB1";#N/A,#N/A,FALSE,"MOD-A01-R - BB1";#N/A,#N/A,FALSE,"URB-BB1"}</definedName>
    <definedName name="wrn.BETER." localSheetId="3" hidden="1">{#N/A,#N/A,FALSE,"BETER -1";#N/A,#N/A,FALSE,"BETER -2";#N/A,#N/A,FALSE,"BETER -3";#N/A,#N/A,FALSE,"BETER -urb";#N/A,#N/A,FALSE,"BETER -RESUMO"}</definedName>
    <definedName name="wrn.BETER." localSheetId="5" hidden="1">{#N/A,#N/A,FALSE,"BETER -1";#N/A,#N/A,FALSE,"BETER -2";#N/A,#N/A,FALSE,"BETER -3";#N/A,#N/A,FALSE,"BETER -urb";#N/A,#N/A,FALSE,"BETER -RESUMO"}</definedName>
    <definedName name="wrn.BETER." hidden="1">{#N/A,#N/A,FALSE,"BETER -1";#N/A,#N/A,FALSE,"BETER -2";#N/A,#N/A,FALSE,"BETER -3";#N/A,#N/A,FALSE,"BETER -urb";#N/A,#N/A,FALSE,"BETER -RESUMO"}</definedName>
    <definedName name="wrn.Caixa._.de._.Ferramentas." localSheetId="3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localSheetId="5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" hidden="1">{#N/A,#N/A,FALSE,"Eletricista";#N/A,#N/A,FALSE,"Mec. Refrig.";#N/A,#N/A,FALSE,"Civil";#N/A,#N/A,FALSE,"Civ";#N/A,#N/A,FALSE,"Serralheiro";#N/A,#N/A,FALSE,"Encanador";#N/A,#N/A,FALSE,"Eletr.";#N/A,#N/A,FALSE,"EL";#N/A,#N/A,FALSE,"Mec.Refrig.";#N/A,#N/A,FALSE,"Serv. Civ.";#N/A,#N/A,FALSE,"MMO";#N/A,#N/A,FALSE,"EN - CA";#N/A,#N/A,FALSE,"EL - ELT";#N/A,#N/A,FALSE,"PE";#N/A,#N/A,FALSE,"CARP";#N/A,#N/A,FALSE,"TAPEC";#N/A,#N/A,FALSE,"FU";#N/A,#N/A,FALSE,"Mec. Manut.";#N/A,#N/A,FALSE,"SO";#N/A,#N/A,FALSE,"Marc."}</definedName>
    <definedName name="wrn.Caixa._.de._.Ferramentas._.Individuais." localSheetId="3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localSheetId="5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aixa._.de._.Ferramentas._.Individuais." hidden="1">{#N/A,#N/A,FALSE,"Eletricista";#N/A,#N/A,FALSE,"Mecânico de Refrigeração";#N/A,#N/A,FALSE,"Obra civil";#N/A,#N/A,FALSE,"Serralheiro e Mecânico Montador";#N/A,#N/A,FALSE,"Encanador e Caldeireiro";#N/A,#N/A,FALSE,"Eletricista eletrônico";#N/A,#N/A,FALSE,"Pedreiro";#N/A,#N/A,FALSE,"Carpinteiro";#N/A,#N/A,FALSE,"Tapeceiro";#N/A,#N/A,FALSE,"Funileiro";#N/A,#N/A,FALSE,"Mecânico de Manutenção";#N/A,#N/A,FALSE,"Soldador";#N/A,#N/A,FALSE,"Marceneiro";#N/A,#N/A,FALSE,"Laminador"}</definedName>
    <definedName name="wrn.comentario." localSheetId="3" hidden="1">{#N/A,#N/A,FALSE,"PCOL"}</definedName>
    <definedName name="wrn.comentario." localSheetId="5" hidden="1">{#N/A,#N/A,FALSE,"PCOL"}</definedName>
    <definedName name="wrn.comentario." hidden="1">{#N/A,#N/A,FALSE,"PCOL"}</definedName>
    <definedName name="wrn.Comparaison._.DMU." localSheetId="3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localSheetId="5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omparaison._.DMU." hidden="1">{#N/A,#N/A,FALSE,"General";#N/A,#N/A,FALSE,"DMU";#N/A,#N/A,FALSE,"Breakdown";#N/A,#N/A,FALSE,"Traction";#N/A,#N/A,FALSE,"Bogie &amp; Carbody";#N/A,#N/A,FALSE,"Auxiliaries";#N/A,#N/A,FALSE,"Braking";#N/A,#N/A,FALSE,"Electric";#N/A,#N/A,FALSE,"Comfort";#N/A,#N/A,FALSE,"Interiors";#N/A,#N/A,FALSE,"Exterior"}</definedName>
    <definedName name="wrn.Cronograma." localSheetId="3" hidden="1">{#N/A,#N/A,FALSE,"Cronograma";#N/A,#N/A,FALSE,"Cronogr. 2"}</definedName>
    <definedName name="wrn.Cronograma." localSheetId="5" hidden="1">{#N/A,#N/A,FALSE,"Cronograma";#N/A,#N/A,FALSE,"Cronogr. 2"}</definedName>
    <definedName name="wrn.Cronograma." hidden="1">{#N/A,#N/A,FALSE,"Cronograma";#N/A,#N/A,FALSE,"Cronogr. 2"}</definedName>
    <definedName name="wrn.def9806." localSheetId="3" hidden="1">{#N/A,#N/A,FALSE,"DEF1";#N/A,#N/A,FALSE,"DEF2";#N/A,#N/A,FALSE,"DEF3"}</definedName>
    <definedName name="wrn.def9806." localSheetId="5" hidden="1">{#N/A,#N/A,FALSE,"DEF1";#N/A,#N/A,FALSE,"DEF2";#N/A,#N/A,FALSE,"DEF3"}</definedName>
    <definedName name="wrn.def9806." hidden="1">{#N/A,#N/A,FALSE,"DEF1";#N/A,#N/A,FALSE,"DEF2";#N/A,#N/A,FALSE,"DEF3"}</definedName>
    <definedName name="wrn.DESDOBRE." localSheetId="3" hidden="1">{#N/A,#N/A,FALSE,"CPV";#N/A,#N/A,FALSE,"Pareto";#N/A,#N/A,FALSE,"Gráficos"}</definedName>
    <definedName name="wrn.DESDOBRE." localSheetId="5" hidden="1">{#N/A,#N/A,FALSE,"CPV";#N/A,#N/A,FALSE,"Pareto";#N/A,#N/A,FALSE,"Gráficos"}</definedName>
    <definedName name="wrn.DESDOBRE." hidden="1">{#N/A,#N/A,FALSE,"CPV";#N/A,#N/A,FALSE,"Pareto";#N/A,#N/A,FALSE,"Gráficos"}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gere." localSheetId="3" hidden="1">{#N/A,#N/A,FALSE,"GQGEMPRE"}</definedName>
    <definedName name="wrn.gere." localSheetId="5" hidden="1">{#N/A,#N/A,FALSE,"GQGEMPRE"}</definedName>
    <definedName name="wrn.gere." hidden="1">{#N/A,#N/A,FALSE,"GQGEMPRE"}</definedName>
    <definedName name="wrn.geren." localSheetId="3" hidden="1">{#N/A,#N/A,FALSE,"EXPORTAC";#N/A,#N/A,FALSE,"SUPEL94"}</definedName>
    <definedName name="wrn.geren." localSheetId="5" hidden="1">{#N/A,#N/A,FALSE,"EXPORTAC";#N/A,#N/A,FALSE,"SUPEL94"}</definedName>
    <definedName name="wrn.geren." hidden="1">{#N/A,#N/A,FALSE,"EXPORTAC";#N/A,#N/A,FALSE,"SUPEL94"}</definedName>
    <definedName name="wrn.impressao." localSheetId="3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localSheetId="5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mpressao." hidden="1">{#N/A,#N/A,FALSE,"FASE1";#N/A,#N/A,FALSE,"FASE2";#N/A,#N/A,FALSE,"FASE3";#N/A,#N/A,FALSE,"FASE4";#N/A,#N/A,FALSE,"FASE5";#N/A,#N/A,FALSE,"FASE6";#N/A,#N/A,FALSE,"FASE7";#N/A,#N/A,FALSE,"FASE8";#N/A,#N/A,FALSE,"FASE9";#N/A,#N/A,FALSE,"FASE10";#N/A,#N/A,FALSE,"EQUIPAMENTOS";#N/A,#N/A,FALSE,"MOI";#N/A,#N/A,FALSE,"CANTEIRO";#N/A,#N/A,FALSE,"TERCEIROS";#N/A,#N/A,FALSE,"DCO";#N/A,#N/A,FALSE,"RESUMO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VESTIMENTOS._.CORRENTES." localSheetId="3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localSheetId="5" hidden="1">{#N/A,#N/A,FALSE,"Suprimentos";#N/A,#N/A,FALSE,"Medicina e Segurança";#N/A,#N/A,FALSE,"Administração";#N/A,#N/A,FALSE,"Meio Ambiente";#N/A,#N/A,FALSE,"Operação (Mina)";#N/A,#N/A,FALSE,"Operação (Porto)"}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1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rint._.All." localSheetId="3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localSheetId="5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All." hidden="1">{#N/A,#N/A,TRUE,"Commercial Intro";#N/A,#N/A,TRUE,"Summary Intro";#N/A,#N/A,TRUE,"Summary";#N/A,#N/A,TRUE,"TY (formulas)";#N/A,#N/A,TRUE,"Q1 (ACT)";#N/A,#N/A,TRUE,"Q2 (Act)";#N/A,#N/A,TRUE,"Q3 (IOP)";#N/A,#N/A,TRUE,"Q4 (IOP)";#N/A,#N/A,TRUE,"P&amp;L Reports";#N/A,#N/A,TRUE,"Locomotives";#N/A,#N/A,TRUE,"Modernizations";#N/A,#N/A,TRUE,"Repair Services";#N/A,#N/A,TRUE,"Parts";#N/A,#N/A,TRUE,"Signaling Projects";#N/A,#N/A,TRUE,"Signaling Products";#N/A,#N/A,TRUE,"MSA";#N/A,#N/A,TRUE,"Gevisa";#N/A,#N/A,TRUE,"TST Reports";#N/A,#N/A,TRUE,"BNSF";#N/A,#N/A,TRUE,"NS";#N/A,#N/A,TRUE,"UP";#N/A,#N/A,TRUE,"CXS";#N/A,#N/A,TRUE,"CP";#N/A,#N/A,TRUE,"CN";#N/A,#N/A,TRUE,"Other US Shortlines";#N/A,#N/A,TRUE,"Latin America";#N/A,#N/A,TRUE,"NA Passenger";#N/A,#N/A,TRUE,"WE, Africa, ME";#N/A,#N/A,TRUE,"Eastern Europe, Russia";#N/A,#N/A,TRUE,"India &amp; W Asia";#N/A,#N/A,TRUE,"SE Asia"}</definedName>
    <definedName name="wrn.Print._.PL._.Reports." localSheetId="3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localSheetId="5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PL._.Reports." hidden="1">{#N/A,#N/A,FALSE,"P&amp;L Reports";#N/A,#N/A,FALSE,"Locomotives";#N/A,#N/A,FALSE,"Modernizations";#N/A,#N/A,FALSE,"Repair Services";#N/A,#N/A,FALSE,"Parts";#N/A,#N/A,FALSE,"Signaling Projects";#N/A,#N/A,FALSE,"Signaling Products";#N/A,#N/A,FALSE,"MSA";#N/A,#N/A,FALSE,"Gevisa"}</definedName>
    <definedName name="wrn.Print._.Summary." localSheetId="3" hidden="1">{#N/A,#N/A,FALSE,"Summary Intro";#N/A,#N/A,FALSE,"Summary";#N/A,#N/A,FALSE,"TY (formulas)";#N/A,#N/A,FALSE,"Q1 (ACT)";#N/A,#N/A,FALSE,"Q2 (Act)";#N/A,#N/A,FALSE,"Q3 (IOP)";#N/A,#N/A,FALSE,"Q4 (IOP)"}</definedName>
    <definedName name="wrn.Print._.Summary." localSheetId="5" hidden="1">{#N/A,#N/A,FALSE,"Summary Intro";#N/A,#N/A,FALSE,"Summary";#N/A,#N/A,FALSE,"TY (formulas)";#N/A,#N/A,FALSE,"Q1 (ACT)";#N/A,#N/A,FALSE,"Q2 (Act)";#N/A,#N/A,FALSE,"Q3 (IOP)";#N/A,#N/A,FALSE,"Q4 (IOP)"}</definedName>
    <definedName name="wrn.Print._.Summary." hidden="1">{#N/A,#N/A,FALSE,"Summary Intro";#N/A,#N/A,FALSE,"Summary";#N/A,#N/A,FALSE,"TY (formulas)";#N/A,#N/A,FALSE,"Q1 (ACT)";#N/A,#N/A,FALSE,"Q2 (Act)";#N/A,#N/A,FALSE,"Q3 (IOP)";#N/A,#N/A,FALSE,"Q4 (IOP)"}</definedName>
    <definedName name="wrn.Print._.TST._.Reports." localSheetId="3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localSheetId="5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Print._.TST._.Reports." hidden="1">{#N/A,#N/A,FALSE,"TST Reports";#N/A,#N/A,FALSE,"BNSF";#N/A,#N/A,FALSE,"NS";#N/A,#N/A,FALSE,"UP";#N/A,#N/A,FALSE,"CXS";#N/A,#N/A,FALSE,"CP";#N/A,#N/A,FALSE,"CN";#N/A,#N/A,FALSE,"Latin America";#N/A,#N/A,FALSE,"Other US Shortlines";#N/A,#N/A,FALSE,"NA Passenger";#N/A,#N/A,FALSE,"WE, Africa, ME";#N/A,#N/A,FALSE,"Eastern Europe, Russia";#N/A,#N/A,FALSE,"India &amp; W Asia";#N/A,#N/A,FALSE,"SE Asia"}</definedName>
    <definedName name="wrn.Relatório._.Porto.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RELPAC." localSheetId="3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localSheetId="5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ELPAC." hidden="1">{#N/A,#N/A,FALSE,"VPLASIS";#N/A,#N/A,FALSE,"VPLPE";#N/A,#N/A,FALSE,"VPLBR";#N/A,#N/A,FALSE,"CTOTPESEAS";#N/A,#N/A,FALSE,"CTOTBRCKS";#N/A,#N/A,FALSE,"CTOTBRCKS";#N/A,#N/A,FALSE,"COMPARATIVO";#N/A,#N/A,FALSE,"QUADRO 1";#N/A,#N/A,FALSE,"QUADRO 2";#N/A,#N/A,FALSE,"GRAF1. DET";#N/A,#N/A,FALSE,"PAC";#N/A,#N/A,FALSE,"QD1 PEL";#N/A,#N/A,FALSE,"QD2 PEL";#N/A,#N/A,FALSE,"QD3 PEL";#N/A,#N/A,FALSE,"GRAF1 PEL"}</definedName>
    <definedName name="wrn.rma." localSheetId="3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localSheetId="5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rma." hidden="1">{#N/A,#N/A,FALSE,"Plan1";#N/A,#N/A,FALSE,"Plan1 (2)";#N/A,#N/A,FALSE,"Plan1 (4)";#N/A,#N/A,FALSE,"Plan1 (5)";#N/A,#N/A,FALSE,"Plan1 (6)";#N/A,#N/A,FALSE,"600N6201";#N/A,#N/A,FALSE,"Plan1 (18)";#N/A,#N/A,FALSE,"Plan1 (16)";#N/A,#N/A,FALSE,"Plan1 (17)";#N/A,#N/A,FALSE,"Plan1 (13)";#N/A,#N/A,FALSE,"Plan1 (10)";#N/A,#N/A,FALSE,"Plan1 (11)";#N/A,#N/A,FALSE,"Plan1 (3)";#N/A,#N/A,FALSE,"Plan1 (8)";#N/A,#N/A,FALSE,"Plan1 (9)";#N/A,#N/A,FALSE,"Plan1 (12)";#N/A,#N/A,FALSE,"Plan1 (14)";#N/A,#N/A,FALSE,"Plan1 (15)"}</definedName>
    <definedName name="wrn.SITUAÇÃO._.DIÁRIA." localSheetId="3" hidden="1">{#N/A,#N/A,FALSE,"SITUAÇÃO DIÁRIA ";#N/A,#N/A,FALSE,"7 à 7"}</definedName>
    <definedName name="wrn.SITUAÇÃO._.DIÁRIA." localSheetId="5" hidden="1">{#N/A,#N/A,FALSE,"SITUAÇÃO DIÁRIA ";#N/A,#N/A,FALSE,"7 à 7"}</definedName>
    <definedName name="wrn.SITUAÇÃO._.DIÁRIA." hidden="1">{#N/A,#N/A,FALSE,"SITUAÇÃO DIÁRIA ";#N/A,#N/A,FALSE,"7 à 7"}</definedName>
    <definedName name="wrn.Tabs._.for._.Dave." localSheetId="3" hidden="1">{#N/A,#N/A,FALSE,"CW Summary";#N/A,#N/A,FALSE,"Weekly Tracking";#N/A,#N/A,FALSE,"MSA";#N/A,#N/A,FALSE,"Parts";#N/A,#N/A,FALSE,"RS";#N/A,#N/A,FALSE,"Mods";#N/A,#N/A,FALSE,"GEVISA"}</definedName>
    <definedName name="wrn.Tabs._.for._.Dave." localSheetId="5" hidden="1">{#N/A,#N/A,FALSE,"CW Summary";#N/A,#N/A,FALSE,"Weekly Tracking";#N/A,#N/A,FALSE,"MSA";#N/A,#N/A,FALSE,"Parts";#N/A,#N/A,FALSE,"RS";#N/A,#N/A,FALSE,"Mods";#N/A,#N/A,FALSE,"GEVISA"}</definedName>
    <definedName name="wrn.Tabs._.for._.Dave." hidden="1">{#N/A,#N/A,FALSE,"CW Summary";#N/A,#N/A,FALSE,"Weekly Tracking";#N/A,#N/A,FALSE,"MSA";#N/A,#N/A,FALSE,"Parts";#N/A,#N/A,FALSE,"RS";#N/A,#N/A,FALSE,"Mods";#N/A,#N/A,FALSE,"GEVISA"}</definedName>
    <definedName name="wrn.teste." localSheetId="3" hidden="1">{#N/A,#N/A,TRUE,"indice";#N/A,#N/A,TRUE,"indicadores";#N/A,#N/A,TRUE,"comentarios"}</definedName>
    <definedName name="wrn.teste." localSheetId="5" hidden="1">{#N/A,#N/A,TRUE,"indice";#N/A,#N/A,TRUE,"indicadores";#N/A,#N/A,TRUE,"comentarios"}</definedName>
    <definedName name="wrn.teste." hidden="1">{#N/A,#N/A,TRUE,"indice";#N/A,#N/A,TRUE,"indicadores";#N/A,#N/A,TRUE,"comentarios"}</definedName>
    <definedName name="wrn.Tipo." localSheetId="3" hidden="1">{#N/A,#N/A,TRUE,"Serviços"}</definedName>
    <definedName name="wrn.Tipo." localSheetId="5" hidden="1">{#N/A,#N/A,TRUE,"Serviços"}</definedName>
    <definedName name="wrn.Tipo." hidden="1">{#N/A,#N/A,TRUE,"Serviços"}</definedName>
    <definedName name="WSDW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DW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sewew" localSheetId="3" hidden="1">{#N/A,#N/A,FALSE,"PCOL"}</definedName>
    <definedName name="wsewew" localSheetId="5" hidden="1">{#N/A,#N/A,FALSE,"PCOL"}</definedName>
    <definedName name="wsewew" hidden="1">{#N/A,#N/A,FALSE,"PCOL"}</definedName>
    <definedName name="Wtotal">#REF!</definedName>
    <definedName name="ww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wwwww">#REF!</definedName>
    <definedName name="WWWWWWWWWW" localSheetId="3" hidden="1">{"'gráf jan00'!$A$1:$AK$41"}</definedName>
    <definedName name="WWWWWWWWWW" localSheetId="5" hidden="1">{"'gráf jan00'!$A$1:$AK$41"}</definedName>
    <definedName name="WWWWWWWWWW" hidden="1">{"'gráf jan00'!$A$1:$AK$41"}</definedName>
    <definedName name="x" localSheetId="3" hidden="1">{#N/A,#N/A,FALSE,"ET-CAPA";#N/A,#N/A,FALSE,"ET-PAG1";#N/A,#N/A,FALSE,"ET-PAG2";#N/A,#N/A,FALSE,"ET-PAG3";#N/A,#N/A,FALSE,"ET-PAG4";#N/A,#N/A,FALSE,"ET-PAG5"}</definedName>
    <definedName name="x" localSheetId="5" hidden="1">{#N/A,#N/A,FALSE,"ET-CAPA";#N/A,#N/A,FALSE,"ET-PAG1";#N/A,#N/A,FALSE,"ET-PAG2";#N/A,#N/A,FALSE,"ET-PAG3";#N/A,#N/A,FALSE,"ET-PAG4";#N/A,#N/A,FALSE,"ET-PAG5"}</definedName>
    <definedName name="x" hidden="1">{#N/A,#N/A,FALSE,"ET-CAPA";#N/A,#N/A,FALSE,"ET-PAG1";#N/A,#N/A,FALSE,"ET-PAG2";#N/A,#N/A,FALSE,"ET-PAG3";#N/A,#N/A,FALSE,"ET-PAG4";#N/A,#N/A,FALSE,"ET-PAG5"}</definedName>
    <definedName name="xaaxx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C">#REF!</definedName>
    <definedName name="XCI">#REF!</definedName>
    <definedName name="XCII">#REF!</definedName>
    <definedName name="XCIII">#REF!</definedName>
    <definedName name="XCIV">#REF!</definedName>
    <definedName name="XCIX">#REF!</definedName>
    <definedName name="XCV">#REF!</definedName>
    <definedName name="XCVI">#REF!</definedName>
    <definedName name="XCVII">#REF!</definedName>
    <definedName name="XCVIII">#REF!</definedName>
    <definedName name="xcxcx" localSheetId="3" hidden="1">{"'gráf jan00'!$A$1:$AK$41"}</definedName>
    <definedName name="xcxcx" localSheetId="5" hidden="1">{"'gráf jan00'!$A$1:$AK$41"}</definedName>
    <definedName name="xcxcx" hidden="1">{"'gráf jan00'!$A$1:$AK$41"}</definedName>
    <definedName name="xd" localSheetId="3" hidden="1">{"'gráf jan00'!$A$1:$AK$41"}</definedName>
    <definedName name="xd" localSheetId="5" hidden="1">{"'gráf jan00'!$A$1:$AK$41"}</definedName>
    <definedName name="xd" hidden="1">{"'gráf jan00'!$A$1:$AK$41"}</definedName>
    <definedName name="xda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a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det" localSheetId="3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localSheetId="5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et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DF" localSheetId="3" hidden="1">{"'Quadro'!$A$4:$BG$78"}</definedName>
    <definedName name="XDF" localSheetId="5" hidden="1">{"'Quadro'!$A$4:$BG$78"}</definedName>
    <definedName name="XDF" hidden="1">{"'Quadro'!$A$4:$BG$78"}</definedName>
    <definedName name="XDSAD" localSheetId="3" hidden="1">{"'REL CUSTODIF'!$B$1:$H$72"}</definedName>
    <definedName name="XDSAD" localSheetId="5" hidden="1">{"'REL CUSTODIF'!$B$1:$H$72"}</definedName>
    <definedName name="XDSAD" hidden="1">{"'REL CUSTODIF'!$B$1:$H$72"}</definedName>
    <definedName name="xfc" localSheetId="3" hidden="1">{"'REL CUSTODIF'!$B$1:$H$72"}</definedName>
    <definedName name="xfc" localSheetId="5" hidden="1">{"'REL CUSTODIF'!$B$1:$H$72"}</definedName>
    <definedName name="xfc" hidden="1">{"'REL CUSTODIF'!$B$1:$H$72"}</definedName>
    <definedName name="XI">#REF!</definedName>
    <definedName name="XII">#REF!</definedName>
    <definedName name="XIII">#REF!</definedName>
    <definedName name="xisto">#REF!</definedName>
    <definedName name="XIV">#REF!</definedName>
    <definedName name="xixix">#REF!</definedName>
    <definedName name="xuxa" localSheetId="3" hidden="1">{"'REL CUSTODIF'!$B$1:$H$72"}</definedName>
    <definedName name="xuxa" localSheetId="5" hidden="1">{"'REL CUSTODIF'!$B$1:$H$72"}</definedName>
    <definedName name="xuxa" hidden="1">{"'REL CUSTODIF'!$B$1:$H$72"}</definedName>
    <definedName name="xuxa1" localSheetId="3" hidden="1">{"'REL CUSTODIF'!$B$1:$H$72"}</definedName>
    <definedName name="xuxa1" localSheetId="5" hidden="1">{"'REL CUSTODIF'!$B$1:$H$72"}</definedName>
    <definedName name="xuxa1" hidden="1">{"'REL CUSTODIF'!$B$1:$H$72"}</definedName>
    <definedName name="XV">#REF!</definedName>
    <definedName name="XWERF" localSheetId="3" hidden="1">{"'REL CUSTODIF'!$B$1:$H$72"}</definedName>
    <definedName name="XWERF" localSheetId="5" hidden="1">{"'REL CUSTODIF'!$B$1:$H$72"}</definedName>
    <definedName name="XWERF" hidden="1">{"'REL CUSTODIF'!$B$1:$H$72"}</definedName>
    <definedName name="XX">#REF!</definedName>
    <definedName name="XXI">#REF!</definedName>
    <definedName name="XXII">#REF!</definedName>
    <definedName name="XXIII">#REF!</definedName>
    <definedName name="XXIV">#REF!</definedName>
    <definedName name="XXV">#REF!</definedName>
    <definedName name="XXX">#REF!</definedName>
    <definedName name="xxxCLabel1.1.Displacement">-1</definedName>
    <definedName name="xxxCLabel1.1.Label">"09/2004	February 2004"</definedName>
    <definedName name="xxxCLabel1.1.Prompt">0</definedName>
    <definedName name="xxxCLabel1.10.Prompt">0</definedName>
    <definedName name="xxxCLabel1.11.Prompt">0</definedName>
    <definedName name="xxxCLabel1.12.Prompt">0</definedName>
    <definedName name="xxxCLabel1.13.Prompt">0</definedName>
    <definedName name="xxxCLabel1.14.Prompt">0</definedName>
    <definedName name="xxxCLabel1.2.Prompt">0</definedName>
    <definedName name="xxxCLabel1.3.Prompt">0</definedName>
    <definedName name="xxxCLabel1.4.Prompt">0</definedName>
    <definedName name="xxxCLabel1.5.Prompt">0</definedName>
    <definedName name="xxxCLabel1.6.Prompt">0</definedName>
    <definedName name="xxxCLabel1.7.Prompt">0</definedName>
    <definedName name="xxxCLabel1.8.Prompt">0</definedName>
    <definedName name="xxxCLabel1.9.Prompt">0</definedName>
    <definedName name="xxxColHeader1bx">0</definedName>
    <definedName name="xxxColHeader1by">11</definedName>
    <definedName name="xxxColHeader1ex">0</definedName>
    <definedName name="xxxColHeader1ey">11</definedName>
    <definedName name="xxxColLabels1bx">1</definedName>
    <definedName name="xxxColLabels1by">11</definedName>
    <definedName name="xxxColLabels1ex">1</definedName>
    <definedName name="xxxColLabels1ey">11</definedName>
    <definedName name="xxxCommon1DimValue1.1">"'0420"</definedName>
    <definedName name="xxxCommon1DimValue1.2">"M*Property Changes"</definedName>
    <definedName name="xxxCommon1DimValue2.1">"'09"</definedName>
    <definedName name="xxxCommon1DimValue2.2">"February"</definedName>
    <definedName name="xxxCommon1DimValue3.1">"'6176"</definedName>
    <definedName name="xxxCommon1DimValue3.2">"CASA-Admin-Local"</definedName>
    <definedName name="xxxCommon1DimValue4.1">"'2004"</definedName>
    <definedName name="xxxCommon1DimValue4.2">2004</definedName>
    <definedName name="xxxCommon1DimValue5.1">"Year-to-Date"</definedName>
    <definedName name="xxxCommon1DimValue5.2">"Year to date P&amp;L Accumulation"</definedName>
    <definedName name="xxxCommon1DimValue6.1">"'0000"</definedName>
    <definedName name="xxxCommon1DimValue6.2">"Total"</definedName>
    <definedName name="xxxCommon1DimValue7.1">"Local"</definedName>
    <definedName name="xxxCommon1DimValue7.2">"Local Currency"</definedName>
    <definedName name="xxxCommon1DimValue8.1">"Net-of-Adjustments"</definedName>
    <definedName name="xxxCommon1DimValue8.2">"Net-of-Adjustments Datatype"</definedName>
    <definedName name="xxxCommonArea1bx">0</definedName>
    <definedName name="xxxCommonArea1by">2</definedName>
    <definedName name="xxxCommonArea1ex">2</definedName>
    <definedName name="xxxCommonArea1ey">9</definedName>
    <definedName name="xxxConstR148C2">0</definedName>
    <definedName name="xxxConstR19C2">0</definedName>
    <definedName name="xxxConstR49C2">1826062</definedName>
    <definedName name="xxxConstR67C2">0</definedName>
    <definedName name="xxxConstR72C2">0</definedName>
    <definedName name="xxxConstR80C2">0</definedName>
    <definedName name="xxxDataBlock1bx">1</definedName>
    <definedName name="xxxDataBlock1by">15</definedName>
    <definedName name="xxxDataBlock1ex">1</definedName>
    <definedName name="xxxDataBlock1ey">79</definedName>
    <definedName name="xxxDownfootCols1Count">0</definedName>
    <definedName name="xxxDownfootRows1Count">5</definedName>
    <definedName name="xxxDownfootRows1Number0">26</definedName>
    <definedName name="xxxDownfootRows1Number1">37</definedName>
    <definedName name="xxxDownfootRows1Number10">85</definedName>
    <definedName name="xxxDownfootRows1Number11">91</definedName>
    <definedName name="xxxDownfootRows1Number12">99</definedName>
    <definedName name="xxxDownfootRows1Number13">138</definedName>
    <definedName name="xxxDownfootRows1Number14">147</definedName>
    <definedName name="xxxDownfootRows1Number2">50</definedName>
    <definedName name="xxxDownfootRows1Number3">63</definedName>
    <definedName name="xxxDownfootRows1Number4">75</definedName>
    <definedName name="xxxDownfootRows1Number5">52</definedName>
    <definedName name="xxxDownfootRows1Number6">58</definedName>
    <definedName name="xxxDownfootRows1Number7">64</definedName>
    <definedName name="xxxDownfootRows1Number8">72</definedName>
    <definedName name="xxxDownfootRows1Number9">78</definedName>
    <definedName name="xxxEntireArea1bx">0</definedName>
    <definedName name="xxxEntireArea1by">2</definedName>
    <definedName name="xxxEntireArea1ex">1</definedName>
    <definedName name="xxxEntireArea1ey">79</definedName>
    <definedName name="xxxGNVFileName">"B0420.gnv"</definedName>
    <definedName name="xxxGNVStamp">995306798</definedName>
    <definedName name="xxxHeaderCols1Count">0</definedName>
    <definedName name="xxxHeaderRows1Count">12</definedName>
    <definedName name="xxxHeaderRows1Number0">15</definedName>
    <definedName name="xxxHeaderRows1Number1">27</definedName>
    <definedName name="xxxHeaderRows1Number10">76</definedName>
    <definedName name="xxxHeaderRows1Number11">77</definedName>
    <definedName name="xxxHeaderRows1Number12">54</definedName>
    <definedName name="xxxHeaderRows1Number13">59</definedName>
    <definedName name="xxxHeaderRows1Number14">60</definedName>
    <definedName name="xxxHeaderRows1Number15">65</definedName>
    <definedName name="xxxHeaderRows1Number16">66</definedName>
    <definedName name="xxxHeaderRows1Number17">73</definedName>
    <definedName name="xxxHeaderRows1Number18">74</definedName>
    <definedName name="xxxHeaderRows1Number19">79</definedName>
    <definedName name="xxxHeaderRows1Number2">28</definedName>
    <definedName name="xxxHeaderRows1Number20">80</definedName>
    <definedName name="xxxHeaderRows1Number21">86</definedName>
    <definedName name="xxxHeaderRows1Number22">87</definedName>
    <definedName name="xxxHeaderRows1Number23">92</definedName>
    <definedName name="xxxHeaderRows1Number24">93</definedName>
    <definedName name="xxxHeaderRows1Number25">83</definedName>
    <definedName name="xxxHeaderRows1Number26">106</definedName>
    <definedName name="xxxHeaderRows1Number27">107</definedName>
    <definedName name="xxxHeaderRows1Number28">114</definedName>
    <definedName name="xxxHeaderRows1Number29">115</definedName>
    <definedName name="xxxHeaderRows1Number3">38</definedName>
    <definedName name="xxxHeaderRows1Number30">116</definedName>
    <definedName name="xxxHeaderRows1Number31">117</definedName>
    <definedName name="xxxHeaderRows1Number4">39</definedName>
    <definedName name="xxxHeaderRows1Number5">51</definedName>
    <definedName name="xxxHeaderRows1Number6">52</definedName>
    <definedName name="xxxHeaderRows1Number7">53</definedName>
    <definedName name="xxxHeaderRows1Number8">64</definedName>
    <definedName name="xxxHeaderRows1Number9">65</definedName>
    <definedName name="xxxHeaderRows1Over0">0</definedName>
    <definedName name="xxxHeaderRows1Over1">0</definedName>
    <definedName name="xxxHeaderRows1Over10">0</definedName>
    <definedName name="xxxHeaderRows1Over11">0</definedName>
    <definedName name="xxxHeaderRows1Over12">0</definedName>
    <definedName name="xxxHeaderRows1Over13">0</definedName>
    <definedName name="xxxHeaderRows1Over14">0</definedName>
    <definedName name="xxxHeaderRows1Over15">0</definedName>
    <definedName name="xxxHeaderRows1Over16">0</definedName>
    <definedName name="xxxHeaderRows1Over17">0</definedName>
    <definedName name="xxxHeaderRows1Over18">0</definedName>
    <definedName name="xxxHeaderRows1Over19">0</definedName>
    <definedName name="xxxHeaderRows1Over2">0</definedName>
    <definedName name="xxxHeaderRows1Over20">0</definedName>
    <definedName name="xxxHeaderRows1Over21">0</definedName>
    <definedName name="xxxHeaderRows1Over22">0</definedName>
    <definedName name="xxxHeaderRows1Over23">0</definedName>
    <definedName name="xxxHeaderRows1Over24">0</definedName>
    <definedName name="xxxHeaderRows1Over25">0</definedName>
    <definedName name="xxxHeaderRows1Over26">0</definedName>
    <definedName name="xxxHeaderRows1Over27">0</definedName>
    <definedName name="xxxHeaderRows1Over28">0</definedName>
    <definedName name="xxxHeaderRows1Over29">0</definedName>
    <definedName name="xxxHeaderRows1Over3">0</definedName>
    <definedName name="xxxHeaderRows1Over30">0</definedName>
    <definedName name="xxxHeaderRows1Over31">0</definedName>
    <definedName name="xxxHeaderRows1Over4">0</definedName>
    <definedName name="xxxHeaderRows1Over5">0</definedName>
    <definedName name="xxxHeaderRows1Over6">0</definedName>
    <definedName name="xxxHeaderRows1Over7">0</definedName>
    <definedName name="xxxHeaderRows1Over8">0</definedName>
    <definedName name="xxxHeaderRows1Over9">0</definedName>
    <definedName name="xxxHeaderRows1Submit0">1</definedName>
    <definedName name="xxxHeaderRows1Submit1">1</definedName>
    <definedName name="xxxHeaderRows1Submit10">1</definedName>
    <definedName name="xxxHeaderRows1Submit11">1</definedName>
    <definedName name="xxxHeaderRows1Submit12">1</definedName>
    <definedName name="xxxHeaderRows1Submit13">1</definedName>
    <definedName name="xxxHeaderRows1Submit14">1</definedName>
    <definedName name="xxxHeaderRows1Submit15">1</definedName>
    <definedName name="xxxHeaderRows1Submit16">1</definedName>
    <definedName name="xxxHeaderRows1Submit17">1</definedName>
    <definedName name="xxxHeaderRows1Submit18">1</definedName>
    <definedName name="xxxHeaderRows1Submit19">1</definedName>
    <definedName name="xxxHeaderRows1Submit2">1</definedName>
    <definedName name="xxxHeaderRows1Submit20">1</definedName>
    <definedName name="xxxHeaderRows1Submit21">1</definedName>
    <definedName name="xxxHeaderRows1Submit22">1</definedName>
    <definedName name="xxxHeaderRows1Submit23">1</definedName>
    <definedName name="xxxHeaderRows1Submit24">1</definedName>
    <definedName name="xxxHeaderRows1Submit25">1</definedName>
    <definedName name="xxxHeaderRows1Submit26">1</definedName>
    <definedName name="xxxHeaderRows1Submit27">1</definedName>
    <definedName name="xxxHeaderRows1Submit28">1</definedName>
    <definedName name="xxxHeaderRows1Submit29">1</definedName>
    <definedName name="xxxHeaderRows1Submit3">1</definedName>
    <definedName name="xxxHeaderRows1Submit30">1</definedName>
    <definedName name="xxxHeaderRows1Submit31">1</definedName>
    <definedName name="xxxHeaderRows1Submit4">1</definedName>
    <definedName name="xxxHeaderRows1Submit5">1</definedName>
    <definedName name="xxxHeaderRows1Submit6">1</definedName>
    <definedName name="xxxHeaderRows1Submit7">1</definedName>
    <definedName name="xxxHeaderRows1Submit8">1</definedName>
    <definedName name="xxxHeaderRows1Submit9">1</definedName>
    <definedName name="XXXI">#REF!</definedName>
    <definedName name="XXXII">#REF!</definedName>
    <definedName name="XXXIII">#REF!</definedName>
    <definedName name="XXXIV">#REF!</definedName>
    <definedName name="XXXIX">#REF!</definedName>
    <definedName name="xxxNumber_Areas">1</definedName>
    <definedName name="xxxODECols1Count">0</definedName>
    <definedName name="xxxODERows1Count">0</definedName>
    <definedName name="xxxRefreshable">1</definedName>
    <definedName name="xxxRLabel1.1.Prompt">0</definedName>
    <definedName name="xxxRLabel1.10.Prompt">0</definedName>
    <definedName name="xxxRLabel1.100.Prompt">0</definedName>
    <definedName name="xxxRLabel1.101.Prompt">0</definedName>
    <definedName name="xxxRLabel1.102.Prompt">0</definedName>
    <definedName name="xxxRLabel1.103.Prompt">0</definedName>
    <definedName name="xxxRLabel1.104.Prompt">0</definedName>
    <definedName name="xxxRLabel1.105.Prompt">0</definedName>
    <definedName name="xxxRLabel1.106.Prompt">0</definedName>
    <definedName name="xxxRLabel1.107.Prompt">0</definedName>
    <definedName name="xxxRLabel1.108.Prompt">0</definedName>
    <definedName name="xxxRLabel1.109.Prompt">0</definedName>
    <definedName name="xxxRLabel1.11.Prompt">0</definedName>
    <definedName name="xxxRLabel1.110.Prompt">0</definedName>
    <definedName name="xxxRLabel1.111.Prompt">0</definedName>
    <definedName name="xxxRLabel1.112.Prompt">0</definedName>
    <definedName name="xxxRLabel1.113.Prompt">0</definedName>
    <definedName name="xxxRLabel1.114.Prompt">0</definedName>
    <definedName name="xxxRLabel1.115.Prompt">0</definedName>
    <definedName name="xxxRLabel1.116.Prompt">0</definedName>
    <definedName name="xxxRLabel1.117.Prompt">0</definedName>
    <definedName name="xxxRLabel1.118.Prompt">0</definedName>
    <definedName name="xxxRLabel1.119.Prompt">0</definedName>
    <definedName name="xxxRLabel1.12.Prompt">0</definedName>
    <definedName name="xxxRLabel1.120.Prompt">0</definedName>
    <definedName name="xxxRLabel1.121.Prompt">0</definedName>
    <definedName name="xxxRLabel1.122.Prompt">0</definedName>
    <definedName name="xxxRLabel1.123.Prompt">0</definedName>
    <definedName name="xxxRLabel1.124.Prompt">0</definedName>
    <definedName name="xxxRLabel1.125.Prompt">0</definedName>
    <definedName name="xxxRLabel1.126.Prompt">0</definedName>
    <definedName name="xxxRLabel1.127.Prompt">0</definedName>
    <definedName name="xxxRLabel1.128.Prompt">0</definedName>
    <definedName name="xxxRLabel1.129.Prompt">0</definedName>
    <definedName name="xxxRLabel1.13.Prompt">0</definedName>
    <definedName name="xxxRLabel1.130.Prompt">0</definedName>
    <definedName name="xxxRLabel1.131.Prompt">0</definedName>
    <definedName name="xxxRLabel1.132.Prompt">0</definedName>
    <definedName name="xxxRLabel1.133.Prompt">0</definedName>
    <definedName name="xxxRLabel1.134.Prompt">0</definedName>
    <definedName name="xxxRLabel1.14.Prompt">0</definedName>
    <definedName name="xxxRLabel1.15.Prompt">0</definedName>
    <definedName name="xxxRLabel1.16.Prompt">0</definedName>
    <definedName name="xxxRLabel1.17.Prompt">0</definedName>
    <definedName name="xxxRLabel1.18.Prompt">0</definedName>
    <definedName name="xxxRLabel1.19.Prompt">0</definedName>
    <definedName name="xxxRLabel1.2.Prompt">0</definedName>
    <definedName name="xxxRLabel1.20.Prompt">0</definedName>
    <definedName name="xxxRLabel1.21.Prompt">0</definedName>
    <definedName name="xxxRLabel1.22.Prompt">0</definedName>
    <definedName name="xxxRLabel1.23.Prompt">0</definedName>
    <definedName name="xxxRLabel1.24.Prompt">0</definedName>
    <definedName name="xxxRLabel1.25.Prompt">0</definedName>
    <definedName name="xxxRLabel1.26.Prompt">0</definedName>
    <definedName name="xxxRLabel1.27.Prompt">0</definedName>
    <definedName name="xxxRLabel1.28.Prompt">0</definedName>
    <definedName name="xxxRLabel1.29.Prompt">0</definedName>
    <definedName name="xxxRLabel1.3.Prompt">0</definedName>
    <definedName name="xxxRLabel1.30.Prompt">0</definedName>
    <definedName name="xxxRLabel1.31.Prompt">0</definedName>
    <definedName name="xxxRLabel1.32.Prompt">0</definedName>
    <definedName name="xxxRLabel1.33.Prompt">0</definedName>
    <definedName name="xxxRLabel1.34.Prompt">0</definedName>
    <definedName name="xxxRLabel1.35.Prompt">0</definedName>
    <definedName name="xxxRLabel1.36.Prompt">0</definedName>
    <definedName name="xxxRLabel1.37.Prompt">0</definedName>
    <definedName name="xxxRLabel1.38.Prompt">0</definedName>
    <definedName name="xxxRLabel1.39.Prompt">0</definedName>
    <definedName name="xxxRLabel1.4.Prompt">0</definedName>
    <definedName name="xxxRLabel1.40.Prompt">0</definedName>
    <definedName name="xxxRLabel1.41.Prompt">0</definedName>
    <definedName name="xxxRLabel1.42.Prompt">0</definedName>
    <definedName name="xxxRLabel1.43.Prompt">0</definedName>
    <definedName name="xxxRLabel1.44.Prompt">0</definedName>
    <definedName name="xxxRLabel1.45.Prompt">0</definedName>
    <definedName name="xxxRLabel1.46.Prompt">0</definedName>
    <definedName name="xxxRLabel1.47.Prompt">0</definedName>
    <definedName name="xxxRLabel1.48.Prompt">0</definedName>
    <definedName name="xxxRLabel1.49.Prompt">0</definedName>
    <definedName name="xxxRLabel1.5.Prompt">0</definedName>
    <definedName name="xxxRLabel1.50.Prompt">0</definedName>
    <definedName name="xxxRLabel1.51.Prompt">0</definedName>
    <definedName name="xxxRLabel1.52.Prompt">0</definedName>
    <definedName name="xxxRLabel1.53.Prompt">0</definedName>
    <definedName name="xxxRLabel1.54.Prompt">0</definedName>
    <definedName name="xxxRLabel1.55.Prompt">0</definedName>
    <definedName name="xxxRLabel1.56.Prompt">0</definedName>
    <definedName name="xxxRLabel1.57.Prompt">0</definedName>
    <definedName name="xxxRLabel1.58.Prompt">0</definedName>
    <definedName name="xxxRLabel1.59.Prompt">0</definedName>
    <definedName name="xxxRLabel1.6.Prompt">0</definedName>
    <definedName name="xxxRLabel1.60.Prompt">0</definedName>
    <definedName name="xxxRLabel1.61.Prompt">0</definedName>
    <definedName name="xxxRLabel1.62.Prompt">0</definedName>
    <definedName name="xxxRLabel1.63.Prompt">0</definedName>
    <definedName name="xxxRLabel1.64.Prompt">0</definedName>
    <definedName name="xxxRLabel1.65.Prompt">0</definedName>
    <definedName name="xxxRLabel1.66.Prompt">0</definedName>
    <definedName name="xxxRLabel1.67.Prompt">0</definedName>
    <definedName name="xxxRLabel1.68.Prompt">0</definedName>
    <definedName name="xxxRLabel1.69.Prompt">0</definedName>
    <definedName name="xxxRLabel1.7.Prompt">0</definedName>
    <definedName name="xxxRLabel1.70.Prompt">0</definedName>
    <definedName name="xxxRLabel1.71.Prompt">0</definedName>
    <definedName name="xxxRLabel1.72.Prompt">0</definedName>
    <definedName name="xxxRLabel1.73.Prompt">0</definedName>
    <definedName name="xxxRLabel1.74.Prompt">0</definedName>
    <definedName name="xxxRLabel1.75.Prompt">0</definedName>
    <definedName name="xxxRLabel1.76.Prompt">0</definedName>
    <definedName name="xxxRLabel1.77.Prompt">0</definedName>
    <definedName name="xxxRLabel1.78.Prompt">0</definedName>
    <definedName name="xxxRLabel1.79.Prompt">0</definedName>
    <definedName name="xxxRLabel1.8.Prompt">0</definedName>
    <definedName name="xxxRLabel1.80.Prompt">0</definedName>
    <definedName name="xxxRLabel1.81.Prompt">0</definedName>
    <definedName name="xxxRLabel1.82.Prompt">0</definedName>
    <definedName name="xxxRLabel1.83.Prompt">0</definedName>
    <definedName name="xxxRLabel1.84.Prompt">0</definedName>
    <definedName name="xxxRLabel1.85.Prompt">0</definedName>
    <definedName name="xxxRLabel1.86.Prompt">0</definedName>
    <definedName name="xxxRLabel1.87.Prompt">0</definedName>
    <definedName name="xxxRLabel1.88.Prompt">0</definedName>
    <definedName name="xxxRLabel1.89.Prompt">0</definedName>
    <definedName name="xxxRLabel1.9.Prompt">0</definedName>
    <definedName name="xxxRLabel1.90.Prompt">0</definedName>
    <definedName name="xxxRLabel1.91.Prompt">0</definedName>
    <definedName name="xxxRLabel1.92.Prompt">0</definedName>
    <definedName name="xxxRLabel1.93.Prompt">0</definedName>
    <definedName name="xxxRLabel1.94.Prompt">0</definedName>
    <definedName name="xxxRLabel1.95.Prompt">0</definedName>
    <definedName name="xxxRLabel1.96.Prompt">0</definedName>
    <definedName name="xxxRLabel1.97.Prompt">0</definedName>
    <definedName name="xxxRLabel1.98.Prompt">0</definedName>
    <definedName name="xxxRLabel1.99.Prompt">0</definedName>
    <definedName name="xxxRowHeader1bx">0</definedName>
    <definedName name="xxxRowHeader1by">13</definedName>
    <definedName name="xxxRowHeader1ex">0</definedName>
    <definedName name="xxxRowHeader1ey">13</definedName>
    <definedName name="xxxRowLabels1bx">0</definedName>
    <definedName name="xxxRowLabels1by">15</definedName>
    <definedName name="xxxRowLabels1ex">0</definedName>
    <definedName name="xxxRowLabels1ey">79</definedName>
    <definedName name="xxxSubmittable">1</definedName>
    <definedName name="xxxUDCols1Count">0</definedName>
    <definedName name="xxxUDCols1Number0">10</definedName>
    <definedName name="xxxUDCols1Over0">0</definedName>
    <definedName name="xxxUDCols1Submit0">1</definedName>
    <definedName name="xxxUDRows1Count">0</definedName>
    <definedName name="XXXV">#REF!</definedName>
    <definedName name="XXXVI">#REF!</definedName>
    <definedName name="XXXVII">#REF!</definedName>
    <definedName name="XXXVIII">#REF!</definedName>
    <definedName name="xxxWorksheet_Name">"Sheet1"</definedName>
    <definedName name="xxxx">#REF!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>#REF!</definedName>
    <definedName name="XXXXXXX">#REF!</definedName>
    <definedName name="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y" hidden="1">{#N/A,#N/A,FALSE,"Cronograma";#N/A,#N/A,FALSE,"Cronogr. 2"}</definedName>
    <definedName name="Yanto">#REF!</definedName>
    <definedName name="YEARS">#REF!</definedName>
    <definedName name="ygv" localSheetId="3" hidden="1">{#N/A,#N/A,FALSE,"PCOL"}</definedName>
    <definedName name="ygv" localSheetId="5" hidden="1">{#N/A,#N/A,FALSE,"PCOL"}</definedName>
    <definedName name="ygv" hidden="1">{#N/A,#N/A,FALSE,"PCOL"}</definedName>
    <definedName name="yields">#REF!</definedName>
    <definedName name="YO" localSheetId="3" hidden="1">{"'Quadro'!$A$4:$BG$78"}</definedName>
    <definedName name="YO" localSheetId="5" hidden="1">{"'Quadro'!$A$4:$BG$78"}</definedName>
    <definedName name="YO" hidden="1">{"'Quadro'!$A$4:$BG$78"}</definedName>
    <definedName name="yuo">#REF!</definedName>
    <definedName name="yury">#REF!</definedName>
    <definedName name="yy" localSheetId="3" hidden="1">{"'REL CUSTODIF'!$B$1:$H$72"}</definedName>
    <definedName name="yy" localSheetId="5" hidden="1">{"'REL CUSTODIF'!$B$1:$H$72"}</definedName>
    <definedName name="yy" hidden="1">{"'REL CUSTODIF'!$B$1:$H$72"}</definedName>
    <definedName name="yyy">#REF!</definedName>
    <definedName name="Z">#REF!</definedName>
    <definedName name="Z_09F1F36E_B8A3_491C_89C9_D00232BEB8F7_.wvu.FilterData" hidden="1">#REF!</definedName>
    <definedName name="Z_146D92FF_DFCA_47DC_9CF6_0D07F916365B_.wvu.Cols" hidden="1">#REF!,#REF!,#REF!,#REF!</definedName>
    <definedName name="Z_146D92FF_DFCA_47DC_9CF6_0D07F916365B_.wvu.FilterData" hidden="1">#REF!</definedName>
    <definedName name="Z_204280AB_6F29_4C38_B953_40E78BD846F8_.wvu.Cols" hidden="1">#REF!,#REF!,#REF!</definedName>
    <definedName name="Z_204280AB_6F29_4C38_B953_40E78BD846F8_.wvu.FilterData" hidden="1">#REF!</definedName>
    <definedName name="Z_204280AB_6F29_4C38_B953_40E78BD846F8_.wvu.PrintArea" hidden="1">#REF!</definedName>
    <definedName name="Z_204280AB_6F29_4C38_B953_40E78BD846F8_.wvu.PrintTitles" hidden="1">#REF!</definedName>
    <definedName name="Z_51FD69F9_F189_4F5A_9AD9_5ECC2AB6ECB3_.wvu.FilterData" hidden="1">#REF!</definedName>
    <definedName name="Z_51FD69F9_F189_4F5A_9AD9_5ECC2AB6ECB3_.wvu.PrintArea" hidden="1">#REF!</definedName>
    <definedName name="Z_51FD69F9_F189_4F5A_9AD9_5ECC2AB6ECB3_.wvu.PrintTitles" hidden="1">#REF!</definedName>
    <definedName name="Z_67671492_8FB0_4A9C_81AC_AB7AE0D4163D_.wvu.Cols" hidden="1">#REF!</definedName>
    <definedName name="Z_67671492_8FB0_4A9C_81AC_AB7AE0D4163D_.wvu.FilterData" hidden="1">#REF!</definedName>
    <definedName name="Z_67671492_8FB0_4A9C_81AC_AB7AE0D4163D_.wvu.PrintArea" hidden="1">#REF!</definedName>
    <definedName name="Z_67671492_8FB0_4A9C_81AC_AB7AE0D4163D_.wvu.PrintTitles" hidden="1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_7AE3F8A6_7282_4640_BAE6_7D5F8B45608B_.wvu.Cols" hidden="1">#REF!</definedName>
    <definedName name="Z_8DD835B5_A9EB_4AAA_B94F_A44AC86A69C0_.wvu.PrintArea" hidden="1">#REF!</definedName>
    <definedName name="Z_8DD835B5_A9EB_4AAA_B94F_A44AC86A69C0_.wvu.PrintTitles" hidden="1">#REF!</definedName>
    <definedName name="Z_8DD835B5_A9EB_4AAA_B94F_A44AC86A69C0_.wvu.Rows" hidden="1">#REF!</definedName>
    <definedName name="zac">#REF!</definedName>
    <definedName name="ZDA\DS" localSheetId="3" hidden="1">{"'gráf jan00'!$A$1:$AK$41"}</definedName>
    <definedName name="ZDA\DS" localSheetId="5" hidden="1">{"'gráf jan00'!$A$1:$AK$41"}</definedName>
    <definedName name="ZDA\DS" hidden="1">{"'gráf jan00'!$A$1:$AK$41"}</definedName>
    <definedName name="zeca">#REF!</definedName>
    <definedName name="ZERATOTAIS">#REF!</definedName>
    <definedName name="zgfd" localSheetId="3" hidden="1">{"'gráf jan00'!$A$1:$AK$41"}</definedName>
    <definedName name="zgfd" localSheetId="5" hidden="1">{"'gráf jan00'!$A$1:$AK$41"}</definedName>
    <definedName name="zgfd" hidden="1">{"'gráf jan00'!$A$1:$AK$41"}</definedName>
    <definedName name="zia">#REF!</definedName>
    <definedName name="ziar">#REF!</definedName>
    <definedName name="zic">#REF!</definedName>
    <definedName name="ziz">#REF!</definedName>
    <definedName name="zoar">#REF!</definedName>
    <definedName name="ZONASUL">#REF!</definedName>
    <definedName name="ZVZ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z">#REF!</definedName>
    <definedName name="zzz">#REF!</definedName>
    <definedName name="zzzzx">#REF!</definedName>
    <definedName name="zzzzzzzzzz">#REF!</definedName>
    <definedName name="zzzzzzzzzzz">#REF!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D113" i="1" l="1"/>
  <c r="H113" i="1"/>
  <c r="I113" i="1"/>
  <c r="F199" i="1" l="1"/>
  <c r="E7" i="1" l="1"/>
  <c r="E199" i="1" l="1"/>
  <c r="G7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8" i="1"/>
  <c r="D30" i="1"/>
  <c r="D31" i="1"/>
  <c r="D32" i="1"/>
  <c r="D33" i="1"/>
  <c r="D35" i="1"/>
  <c r="D36" i="1"/>
  <c r="D37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70" i="1"/>
  <c r="D71" i="1"/>
  <c r="D72" i="1"/>
  <c r="D74" i="1"/>
  <c r="D75" i="1"/>
  <c r="D76" i="1"/>
  <c r="D77" i="1"/>
  <c r="D78" i="1"/>
  <c r="D79" i="1"/>
  <c r="D80" i="1"/>
  <c r="D81" i="1"/>
  <c r="D83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2" i="1"/>
  <c r="D114" i="1"/>
  <c r="D116" i="1"/>
  <c r="D117" i="1"/>
  <c r="D119" i="1"/>
  <c r="D120" i="1"/>
  <c r="D121" i="1"/>
  <c r="D122" i="1"/>
  <c r="D123" i="1"/>
  <c r="D126" i="1"/>
  <c r="D127" i="1"/>
  <c r="D128" i="1"/>
  <c r="D129" i="1"/>
  <c r="D130" i="1"/>
  <c r="D131" i="1"/>
  <c r="D132" i="1"/>
  <c r="D133" i="1"/>
  <c r="D134" i="1"/>
  <c r="D135" i="1"/>
  <c r="D137" i="1"/>
  <c r="D138" i="1"/>
  <c r="D139" i="1"/>
  <c r="D140" i="1"/>
  <c r="D143" i="1"/>
  <c r="D144" i="1"/>
  <c r="D145" i="1"/>
  <c r="D146" i="1"/>
  <c r="D147" i="1"/>
  <c r="D150" i="1"/>
  <c r="D151" i="1"/>
  <c r="D154" i="1"/>
  <c r="D155" i="1"/>
  <c r="D156" i="1"/>
  <c r="D157" i="1"/>
  <c r="D158" i="1"/>
  <c r="D159" i="1"/>
  <c r="D160" i="1"/>
  <c r="D162" i="1"/>
  <c r="D163" i="1"/>
  <c r="D165" i="1"/>
  <c r="D166" i="1"/>
  <c r="D167" i="1"/>
  <c r="D168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C6" i="30"/>
  <c r="D6" i="30"/>
  <c r="E6" i="30"/>
  <c r="C7" i="30"/>
  <c r="D7" i="30"/>
  <c r="E7" i="30"/>
  <c r="C8" i="30"/>
  <c r="D8" i="30"/>
  <c r="E8" i="30"/>
  <c r="C9" i="30"/>
  <c r="D9" i="30"/>
  <c r="E9" i="30"/>
  <c r="C10" i="30"/>
  <c r="D10" i="30"/>
  <c r="E10" i="30"/>
  <c r="C11" i="30"/>
  <c r="D11" i="30"/>
  <c r="E11" i="30"/>
  <c r="C12" i="30"/>
  <c r="D12" i="30"/>
  <c r="E12" i="30"/>
  <c r="C13" i="30"/>
  <c r="D13" i="30"/>
  <c r="E13" i="30"/>
  <c r="C14" i="30"/>
  <c r="D14" i="30"/>
  <c r="E14" i="30"/>
  <c r="C15" i="30"/>
  <c r="D15" i="30"/>
  <c r="E15" i="30"/>
  <c r="C16" i="30"/>
  <c r="D16" i="30"/>
  <c r="E16" i="30"/>
  <c r="C17" i="30"/>
  <c r="D17" i="30"/>
  <c r="E17" i="30"/>
  <c r="C18" i="30"/>
  <c r="D18" i="30"/>
  <c r="E18" i="30"/>
  <c r="C19" i="30"/>
  <c r="D19" i="30"/>
  <c r="E19" i="30"/>
  <c r="C20" i="30"/>
  <c r="D20" i="30"/>
  <c r="E20" i="30"/>
  <c r="C21" i="30"/>
  <c r="D21" i="30"/>
  <c r="E21" i="30"/>
  <c r="C22" i="30"/>
  <c r="D22" i="30"/>
  <c r="E22" i="30"/>
  <c r="C23" i="30"/>
  <c r="D23" i="30"/>
  <c r="E23" i="30"/>
  <c r="C24" i="30"/>
  <c r="D24" i="30"/>
  <c r="E24" i="30"/>
  <c r="C25" i="30"/>
  <c r="D25" i="30"/>
  <c r="E25" i="30"/>
  <c r="C26" i="30"/>
  <c r="D26" i="30"/>
  <c r="E26" i="30"/>
  <c r="C27" i="30"/>
  <c r="D27" i="30"/>
  <c r="E27" i="30"/>
  <c r="C28" i="30"/>
  <c r="D28" i="30"/>
  <c r="E28" i="30"/>
  <c r="C29" i="30"/>
  <c r="D29" i="30"/>
  <c r="E29" i="30"/>
  <c r="C30" i="30"/>
  <c r="D30" i="30"/>
  <c r="E30" i="30"/>
  <c r="C31" i="30"/>
  <c r="D31" i="30"/>
  <c r="C32" i="30"/>
  <c r="D32" i="30"/>
  <c r="E32" i="30"/>
  <c r="C33" i="30"/>
  <c r="D33" i="30"/>
  <c r="C34" i="30"/>
  <c r="D34" i="30"/>
  <c r="E34" i="30"/>
  <c r="C35" i="30"/>
  <c r="D35" i="30"/>
  <c r="E35" i="30"/>
  <c r="C36" i="30"/>
  <c r="D36" i="30"/>
  <c r="E36" i="30"/>
  <c r="C37" i="30"/>
  <c r="D37" i="30"/>
  <c r="E37" i="30"/>
  <c r="C38" i="30"/>
  <c r="D38" i="30"/>
  <c r="C39" i="30"/>
  <c r="D39" i="30"/>
  <c r="C40" i="30"/>
  <c r="D40" i="30"/>
  <c r="E40" i="30"/>
  <c r="C41" i="30"/>
  <c r="D41" i="30"/>
  <c r="E41" i="30"/>
  <c r="C42" i="30"/>
  <c r="D42" i="30"/>
  <c r="E42" i="30"/>
  <c r="C43" i="30"/>
  <c r="D43" i="30"/>
  <c r="E43" i="30"/>
  <c r="C44" i="30"/>
  <c r="D44" i="30"/>
  <c r="E44" i="30"/>
  <c r="C45" i="30"/>
  <c r="D45" i="30"/>
  <c r="E45" i="30"/>
  <c r="C46" i="30"/>
  <c r="D46" i="30"/>
  <c r="E46" i="30"/>
  <c r="C47" i="30"/>
  <c r="D47" i="30"/>
  <c r="C48" i="30"/>
  <c r="D48" i="30"/>
  <c r="E48" i="30"/>
  <c r="C49" i="30"/>
  <c r="D49" i="30"/>
  <c r="E49" i="30"/>
  <c r="C50" i="30"/>
  <c r="D50" i="30"/>
  <c r="E50" i="30"/>
  <c r="C51" i="30"/>
  <c r="D51" i="30"/>
  <c r="E51" i="30"/>
  <c r="C52" i="30"/>
  <c r="D52" i="30"/>
  <c r="E52" i="30"/>
  <c r="C53" i="30"/>
  <c r="D53" i="30"/>
  <c r="E53" i="30"/>
  <c r="C54" i="30"/>
  <c r="D54" i="30"/>
  <c r="E54" i="30"/>
  <c r="C55" i="30"/>
  <c r="D55" i="30"/>
  <c r="E55" i="30"/>
  <c r="C56" i="30"/>
  <c r="D56" i="30"/>
  <c r="E56" i="30"/>
  <c r="C57" i="30"/>
  <c r="D57" i="30"/>
  <c r="E57" i="30"/>
  <c r="C58" i="30"/>
  <c r="D58" i="30"/>
  <c r="E58" i="30"/>
  <c r="C59" i="30"/>
  <c r="D59" i="30"/>
  <c r="E59" i="30"/>
  <c r="C60" i="30"/>
  <c r="D60" i="30"/>
  <c r="E60" i="30"/>
  <c r="C61" i="30"/>
  <c r="D61" i="30"/>
  <c r="E61" i="30"/>
  <c r="C62" i="30"/>
  <c r="D62" i="30"/>
  <c r="E62" i="30"/>
  <c r="C63" i="30"/>
  <c r="D63" i="30"/>
  <c r="E63" i="30"/>
  <c r="C64" i="30"/>
  <c r="D64" i="30"/>
  <c r="E64" i="30"/>
  <c r="C65" i="30"/>
  <c r="D65" i="30"/>
  <c r="E65" i="30"/>
  <c r="C66" i="30"/>
  <c r="D66" i="30"/>
  <c r="E66" i="30"/>
  <c r="C67" i="30"/>
  <c r="D67" i="30"/>
  <c r="E67" i="30"/>
  <c r="C68" i="30"/>
  <c r="D68" i="30"/>
  <c r="E68" i="30"/>
  <c r="C69" i="30"/>
  <c r="D69" i="30"/>
  <c r="E69" i="30"/>
  <c r="C70" i="30"/>
  <c r="D70" i="30"/>
  <c r="E70" i="30"/>
  <c r="C71" i="30"/>
  <c r="D71" i="30"/>
  <c r="C72" i="30"/>
  <c r="D72" i="30"/>
  <c r="E72" i="30"/>
  <c r="C73" i="30"/>
  <c r="D73" i="30"/>
  <c r="E73" i="30"/>
  <c r="C74" i="30"/>
  <c r="D74" i="30"/>
  <c r="E74" i="30"/>
  <c r="C75" i="30"/>
  <c r="D75" i="30"/>
  <c r="E75" i="30"/>
  <c r="C76" i="30"/>
  <c r="D76" i="30"/>
  <c r="E76" i="30"/>
  <c r="C77" i="30"/>
  <c r="D77" i="30"/>
  <c r="C78" i="30"/>
  <c r="D78" i="30"/>
  <c r="E78" i="30"/>
  <c r="C79" i="30"/>
  <c r="D79" i="30"/>
  <c r="E79" i="30"/>
  <c r="C80" i="30"/>
  <c r="D80" i="30"/>
  <c r="E80" i="30"/>
  <c r="C81" i="30"/>
  <c r="D81" i="30"/>
  <c r="C82" i="30"/>
  <c r="D82" i="30"/>
  <c r="E82" i="30"/>
  <c r="C83" i="30"/>
  <c r="D83" i="30"/>
  <c r="E83" i="30"/>
  <c r="C84" i="30"/>
  <c r="D84" i="30"/>
  <c r="E84" i="30"/>
  <c r="C85" i="30"/>
  <c r="D85" i="30"/>
  <c r="E85" i="30"/>
  <c r="C86" i="30"/>
  <c r="D86" i="30"/>
  <c r="E86" i="30"/>
  <c r="C87" i="30"/>
  <c r="D87" i="30"/>
  <c r="E87" i="30"/>
  <c r="C88" i="30"/>
  <c r="D88" i="30"/>
  <c r="E88" i="30"/>
  <c r="C89" i="30"/>
  <c r="D89" i="30"/>
  <c r="E89" i="30"/>
  <c r="C90" i="30"/>
  <c r="D90" i="30"/>
  <c r="E90" i="30"/>
  <c r="C91" i="30"/>
  <c r="D91" i="30"/>
  <c r="E91" i="30"/>
  <c r="C92" i="30"/>
  <c r="D92" i="30"/>
  <c r="C93" i="30"/>
  <c r="D93" i="30"/>
  <c r="C94" i="30"/>
  <c r="D94" i="30"/>
  <c r="E94" i="30"/>
  <c r="C95" i="30"/>
  <c r="D95" i="30"/>
  <c r="E95" i="30"/>
  <c r="C96" i="30"/>
  <c r="D96" i="30"/>
  <c r="E96" i="30"/>
  <c r="C97" i="30"/>
  <c r="D97" i="30"/>
  <c r="E97" i="30"/>
  <c r="C98" i="30"/>
  <c r="D98" i="30"/>
  <c r="E98" i="30"/>
  <c r="C99" i="30"/>
  <c r="D99" i="30"/>
  <c r="E99" i="30"/>
  <c r="C100" i="30"/>
  <c r="D100" i="30"/>
  <c r="E100" i="30"/>
  <c r="C101" i="30"/>
  <c r="D101" i="30"/>
  <c r="E101" i="30"/>
  <c r="C102" i="30"/>
  <c r="D102" i="30"/>
  <c r="E102" i="30"/>
  <c r="C103" i="30"/>
  <c r="D103" i="30"/>
  <c r="E103" i="30"/>
  <c r="C104" i="30"/>
  <c r="D104" i="30"/>
  <c r="E104" i="30"/>
  <c r="C105" i="30"/>
  <c r="D105" i="30"/>
  <c r="E105" i="30"/>
  <c r="C106" i="30"/>
  <c r="D106" i="30"/>
  <c r="E106" i="30"/>
  <c r="C107" i="30"/>
  <c r="D107" i="30"/>
  <c r="E107" i="30"/>
  <c r="C108" i="30"/>
  <c r="D108" i="30"/>
  <c r="E108" i="30"/>
  <c r="C109" i="30"/>
  <c r="D109" i="30"/>
  <c r="E109" i="30"/>
  <c r="C110" i="30"/>
  <c r="D110" i="30"/>
  <c r="E110" i="30"/>
  <c r="C111" i="30"/>
  <c r="D111" i="30"/>
  <c r="E111" i="30"/>
  <c r="C112" i="30"/>
  <c r="D112" i="30"/>
  <c r="E112" i="30"/>
  <c r="C113" i="30"/>
  <c r="D113" i="30"/>
  <c r="E113" i="30"/>
  <c r="C114" i="30"/>
  <c r="D114" i="30"/>
  <c r="E114" i="30"/>
  <c r="C115" i="30"/>
  <c r="D115" i="30"/>
  <c r="E115" i="30"/>
  <c r="C116" i="30"/>
  <c r="D116" i="30"/>
  <c r="E116" i="30"/>
  <c r="C117" i="30"/>
  <c r="D117" i="30"/>
  <c r="E117" i="30"/>
  <c r="C118" i="30"/>
  <c r="D118" i="30"/>
  <c r="E118" i="30"/>
  <c r="C119" i="30"/>
  <c r="D119" i="30"/>
  <c r="E119" i="30"/>
  <c r="C120" i="30"/>
  <c r="D120" i="30"/>
  <c r="C121" i="30"/>
  <c r="D121" i="30"/>
  <c r="E121" i="30"/>
  <c r="C122" i="30"/>
  <c r="D122" i="30"/>
  <c r="E122" i="30"/>
  <c r="C123" i="30"/>
  <c r="D123" i="30"/>
  <c r="E123" i="30"/>
  <c r="C124" i="30"/>
  <c r="D124" i="30"/>
  <c r="C125" i="30"/>
  <c r="D125" i="30"/>
  <c r="E125" i="30"/>
  <c r="C126" i="30"/>
  <c r="D126" i="30"/>
  <c r="E126" i="30"/>
  <c r="C127" i="30"/>
  <c r="D127" i="30"/>
  <c r="C128" i="30"/>
  <c r="D128" i="30"/>
  <c r="E128" i="30"/>
  <c r="C129" i="30"/>
  <c r="D129" i="30"/>
  <c r="E129" i="30"/>
  <c r="C130" i="30"/>
  <c r="D130" i="30"/>
  <c r="E130" i="30"/>
  <c r="C131" i="30"/>
  <c r="D131" i="30"/>
  <c r="E131" i="30"/>
  <c r="C132" i="30"/>
  <c r="D132" i="30"/>
  <c r="E132" i="30"/>
  <c r="C133" i="30"/>
  <c r="D133" i="30"/>
  <c r="C134" i="30"/>
  <c r="D134" i="30"/>
  <c r="C135" i="30"/>
  <c r="D135" i="30"/>
  <c r="E135" i="30"/>
  <c r="C136" i="30"/>
  <c r="D136" i="30"/>
  <c r="E136" i="30"/>
  <c r="C137" i="30"/>
  <c r="D137" i="30"/>
  <c r="E137" i="30"/>
  <c r="C138" i="30"/>
  <c r="D138" i="30"/>
  <c r="E138" i="30"/>
  <c r="C139" i="30"/>
  <c r="D139" i="30"/>
  <c r="E139" i="30"/>
  <c r="C140" i="30"/>
  <c r="D140" i="30"/>
  <c r="E140" i="30"/>
  <c r="C141" i="30"/>
  <c r="D141" i="30"/>
  <c r="E141" i="30"/>
  <c r="C142" i="30"/>
  <c r="D142" i="30"/>
  <c r="E142" i="30"/>
  <c r="C143" i="30"/>
  <c r="D143" i="30"/>
  <c r="E143" i="30"/>
  <c r="C144" i="30"/>
  <c r="D144" i="30"/>
  <c r="E144" i="30"/>
  <c r="C145" i="30"/>
  <c r="D145" i="30"/>
  <c r="C146" i="30"/>
  <c r="D146" i="30"/>
  <c r="E146" i="30"/>
  <c r="C147" i="30"/>
  <c r="D147" i="30"/>
  <c r="E147" i="30"/>
  <c r="C148" i="30"/>
  <c r="D148" i="30"/>
  <c r="E148" i="30"/>
  <c r="C149" i="30"/>
  <c r="D149" i="30"/>
  <c r="E149" i="30"/>
  <c r="C150" i="30"/>
  <c r="D150" i="30"/>
  <c r="C151" i="30"/>
  <c r="D151" i="30"/>
  <c r="C152" i="30"/>
  <c r="D152" i="30"/>
  <c r="E152" i="30"/>
  <c r="C153" i="30"/>
  <c r="D153" i="30"/>
  <c r="E153" i="30"/>
  <c r="C154" i="30"/>
  <c r="D154" i="30"/>
  <c r="E154" i="30"/>
  <c r="C155" i="30"/>
  <c r="D155" i="30"/>
  <c r="E155" i="30"/>
  <c r="C156" i="30"/>
  <c r="D156" i="30"/>
  <c r="E156" i="30"/>
  <c r="C157" i="30"/>
  <c r="D157" i="30"/>
  <c r="E157" i="30"/>
  <c r="C158" i="30"/>
  <c r="D158" i="30"/>
  <c r="C159" i="30"/>
  <c r="D159" i="30"/>
  <c r="E159" i="30"/>
  <c r="C160" i="30"/>
  <c r="D160" i="30"/>
  <c r="E160" i="30"/>
  <c r="C161" i="30"/>
  <c r="D161" i="30"/>
  <c r="C162" i="30"/>
  <c r="D162" i="30"/>
  <c r="C163" i="30"/>
  <c r="D163" i="30"/>
  <c r="E163" i="30"/>
  <c r="C164" i="30"/>
  <c r="D164" i="30"/>
  <c r="E164" i="30"/>
  <c r="C165" i="30"/>
  <c r="D165" i="30"/>
  <c r="E165" i="30"/>
  <c r="C166" i="30"/>
  <c r="D166" i="30"/>
  <c r="E166" i="30"/>
  <c r="C167" i="30"/>
  <c r="D167" i="30"/>
  <c r="E167" i="30"/>
  <c r="C168" i="30"/>
  <c r="D168" i="30"/>
  <c r="E168" i="30"/>
  <c r="C169" i="30"/>
  <c r="D169" i="30"/>
  <c r="C170" i="30"/>
  <c r="D170" i="30"/>
  <c r="E170" i="30"/>
  <c r="C171" i="30"/>
  <c r="D171" i="30"/>
  <c r="E171" i="30"/>
  <c r="C172" i="30"/>
  <c r="D172" i="30"/>
  <c r="E172" i="30"/>
  <c r="C173" i="30"/>
  <c r="D173" i="30"/>
  <c r="C174" i="30"/>
  <c r="D174" i="30"/>
  <c r="E174" i="30"/>
  <c r="C175" i="30"/>
  <c r="D175" i="30"/>
  <c r="E175" i="30"/>
  <c r="C176" i="30"/>
  <c r="D176" i="30"/>
  <c r="E176" i="30"/>
  <c r="C177" i="30"/>
  <c r="D177" i="30"/>
  <c r="E177" i="30"/>
  <c r="C178" i="30"/>
  <c r="D178" i="30"/>
  <c r="C179" i="30"/>
  <c r="D179" i="30"/>
  <c r="E179" i="30"/>
  <c r="C180" i="30"/>
  <c r="D180" i="30"/>
  <c r="E180" i="30"/>
  <c r="C181" i="30"/>
  <c r="D181" i="30"/>
  <c r="E181" i="30"/>
  <c r="C182" i="30"/>
  <c r="D182" i="30"/>
  <c r="E182" i="30"/>
  <c r="C183" i="30"/>
  <c r="D183" i="30"/>
  <c r="E183" i="30"/>
  <c r="C184" i="30"/>
  <c r="D184" i="30"/>
  <c r="E184" i="30"/>
  <c r="C185" i="30"/>
  <c r="D185" i="30"/>
  <c r="E185" i="30"/>
  <c r="C186" i="30"/>
  <c r="D186" i="30"/>
  <c r="E186" i="30"/>
  <c r="C187" i="30"/>
  <c r="D187" i="30"/>
  <c r="E187" i="30"/>
  <c r="C188" i="30"/>
  <c r="D188" i="30"/>
  <c r="E188" i="30"/>
  <c r="C189" i="30"/>
  <c r="D189" i="30"/>
  <c r="E189" i="30"/>
  <c r="C190" i="30"/>
  <c r="D190" i="30"/>
  <c r="E190" i="30"/>
  <c r="C191" i="30"/>
  <c r="D191" i="30"/>
  <c r="E191" i="30"/>
  <c r="C192" i="30"/>
  <c r="D192" i="30"/>
  <c r="E192" i="30"/>
  <c r="C193" i="30"/>
  <c r="D193" i="30"/>
  <c r="E193" i="30"/>
  <c r="C194" i="30"/>
  <c r="D194" i="30"/>
  <c r="E194" i="30"/>
  <c r="C195" i="30"/>
  <c r="D195" i="30"/>
  <c r="E195" i="30"/>
  <c r="C196" i="30"/>
  <c r="D196" i="30"/>
  <c r="E196" i="30"/>
  <c r="C197" i="30"/>
  <c r="D197" i="30"/>
  <c r="E197" i="30"/>
  <c r="C198" i="30"/>
  <c r="D198" i="30"/>
  <c r="E198" i="30"/>
  <c r="C199" i="30"/>
  <c r="D199" i="30"/>
  <c r="E199" i="30"/>
  <c r="E5" i="30"/>
  <c r="D5" i="30"/>
  <c r="C5" i="30"/>
  <c r="I3" i="30"/>
  <c r="F242" i="33"/>
  <c r="E38" i="30" s="1"/>
  <c r="F335" i="33"/>
  <c r="E81" i="30" s="1"/>
  <c r="F326" i="33"/>
  <c r="D69" i="1" s="1"/>
  <c r="F229" i="33"/>
  <c r="D27" i="1" s="1"/>
  <c r="F454" i="33"/>
  <c r="D169" i="1" s="1"/>
  <c r="F449" i="33"/>
  <c r="D164" i="1" s="1"/>
  <c r="F446" i="33"/>
  <c r="D161" i="1" s="1"/>
  <c r="F445" i="33"/>
  <c r="E169" i="30" s="1"/>
  <c r="F438" i="33"/>
  <c r="D153" i="1" s="1"/>
  <c r="F437" i="33"/>
  <c r="D152" i="1" s="1"/>
  <c r="F434" i="33"/>
  <c r="E158" i="30" s="1"/>
  <c r="F433" i="33"/>
  <c r="D148" i="1" s="1"/>
  <c r="F427" i="33"/>
  <c r="D142" i="1" s="1"/>
  <c r="F426" i="33"/>
  <c r="D141" i="1" s="1"/>
  <c r="F421" i="33"/>
  <c r="E145" i="30" s="1"/>
  <c r="F409" i="33"/>
  <c r="D125" i="1" s="1"/>
  <c r="F408" i="33"/>
  <c r="D124" i="1" s="1"/>
  <c r="F401" i="33"/>
  <c r="D118" i="1" s="1"/>
  <c r="F398" i="33"/>
  <c r="D115" i="1" s="1"/>
  <c r="F394" i="33"/>
  <c r="E120" i="30" s="1"/>
  <c r="F351" i="33"/>
  <c r="D85" i="1" s="1"/>
  <c r="F350" i="33"/>
  <c r="D84" i="1" s="1"/>
  <c r="F349" i="33"/>
  <c r="F348" i="33"/>
  <c r="D82" i="1" s="1"/>
  <c r="F277" i="33"/>
  <c r="D42" i="1" s="1"/>
  <c r="F234" i="33"/>
  <c r="D29" i="1" s="1"/>
  <c r="E150" i="30" l="1"/>
  <c r="E92" i="30"/>
  <c r="E178" i="30"/>
  <c r="E133" i="30"/>
  <c r="E173" i="30"/>
  <c r="E77" i="30"/>
  <c r="E134" i="30"/>
  <c r="E93" i="30"/>
  <c r="D136" i="1"/>
  <c r="D73" i="1"/>
  <c r="D111" i="1"/>
  <c r="E151" i="30"/>
  <c r="E127" i="30"/>
  <c r="E71" i="30"/>
  <c r="E47" i="30"/>
  <c r="E39" i="30"/>
  <c r="E31" i="30"/>
  <c r="E124" i="30"/>
  <c r="D149" i="1"/>
  <c r="D34" i="1"/>
  <c r="E161" i="30"/>
  <c r="E33" i="30"/>
  <c r="E162" i="30"/>
  <c r="G90" i="32"/>
  <c r="F90" i="32"/>
  <c r="G89" i="32"/>
  <c r="F89" i="32"/>
  <c r="G88" i="32"/>
  <c r="F88" i="32"/>
  <c r="G87" i="32"/>
  <c r="F87" i="32"/>
  <c r="G86" i="32"/>
  <c r="F86" i="32"/>
  <c r="G85" i="32"/>
  <c r="F85" i="32"/>
  <c r="G84" i="32"/>
  <c r="F84" i="32"/>
  <c r="G83" i="32"/>
  <c r="F83" i="32"/>
  <c r="G82" i="32"/>
  <c r="F82" i="32"/>
  <c r="G81" i="32"/>
  <c r="F81" i="32"/>
  <c r="G80" i="32"/>
  <c r="F80" i="32"/>
  <c r="G79" i="32"/>
  <c r="F79" i="32"/>
  <c r="G78" i="32"/>
  <c r="F78" i="32"/>
  <c r="G77" i="32"/>
  <c r="F77" i="32"/>
  <c r="G76" i="32"/>
  <c r="F76" i="32"/>
  <c r="G74" i="32"/>
  <c r="F74" i="32"/>
  <c r="G73" i="32"/>
  <c r="F73" i="32"/>
  <c r="G72" i="32"/>
  <c r="F72" i="32"/>
  <c r="G71" i="32"/>
  <c r="F71" i="32"/>
  <c r="G70" i="32"/>
  <c r="F70" i="32"/>
  <c r="G69" i="32"/>
  <c r="F69" i="32"/>
  <c r="G68" i="32"/>
  <c r="F68" i="32"/>
  <c r="G67" i="32"/>
  <c r="F67" i="32"/>
  <c r="G66" i="32"/>
  <c r="F66" i="32"/>
  <c r="G65" i="32"/>
  <c r="F65" i="32"/>
  <c r="G64" i="32"/>
  <c r="F64" i="32"/>
  <c r="G63" i="32"/>
  <c r="F63" i="32"/>
  <c r="G62" i="32"/>
  <c r="F62" i="32"/>
  <c r="G61" i="32"/>
  <c r="F61" i="32"/>
  <c r="G60" i="32"/>
  <c r="F60" i="32"/>
  <c r="G59" i="32"/>
  <c r="F59" i="32"/>
  <c r="G58" i="32"/>
  <c r="F58" i="32"/>
  <c r="G57" i="32"/>
  <c r="F57" i="32"/>
  <c r="G56" i="32"/>
  <c r="F56" i="32"/>
  <c r="G55" i="32"/>
  <c r="F55" i="32"/>
  <c r="G54" i="32"/>
  <c r="F54" i="32"/>
  <c r="G53" i="32"/>
  <c r="F53" i="32"/>
  <c r="G52" i="32"/>
  <c r="F52" i="32"/>
  <c r="G51" i="32"/>
  <c r="F51" i="32"/>
  <c r="G50" i="32"/>
  <c r="F50" i="32"/>
  <c r="G49" i="32"/>
  <c r="F49" i="32"/>
  <c r="G48" i="32"/>
  <c r="F48" i="32"/>
  <c r="G47" i="32"/>
  <c r="F47" i="32"/>
  <c r="G46" i="32"/>
  <c r="F46" i="32"/>
  <c r="G45" i="32"/>
  <c r="F45" i="32"/>
  <c r="G44" i="32"/>
  <c r="F44" i="32"/>
  <c r="G43" i="32"/>
  <c r="F43" i="32"/>
  <c r="G42" i="32"/>
  <c r="F42" i="32"/>
  <c r="G41" i="32"/>
  <c r="F41" i="32"/>
  <c r="G39" i="32"/>
  <c r="F39" i="32"/>
  <c r="G38" i="32"/>
  <c r="F38" i="32"/>
  <c r="G37" i="32"/>
  <c r="F37" i="32"/>
  <c r="G36" i="32"/>
  <c r="F36" i="32"/>
  <c r="G35" i="32"/>
  <c r="F35" i="32"/>
  <c r="G34" i="32"/>
  <c r="F34" i="32"/>
  <c r="G33" i="32"/>
  <c r="F33" i="32"/>
  <c r="G32" i="32"/>
  <c r="F32" i="32"/>
  <c r="G31" i="32"/>
  <c r="F31" i="32"/>
  <c r="G30" i="32"/>
  <c r="F30" i="32"/>
  <c r="G29" i="32"/>
  <c r="F29" i="32"/>
  <c r="G28" i="32"/>
  <c r="F28" i="32"/>
  <c r="G27" i="32"/>
  <c r="F27" i="32"/>
  <c r="G26" i="32"/>
  <c r="F26" i="32"/>
  <c r="G25" i="32"/>
  <c r="F25" i="32"/>
  <c r="G24" i="32"/>
  <c r="F24" i="32"/>
  <c r="G23" i="32"/>
  <c r="F23" i="32"/>
  <c r="G22" i="32"/>
  <c r="F22" i="32"/>
  <c r="G21" i="32"/>
  <c r="F21" i="32"/>
  <c r="G20" i="32"/>
  <c r="F20" i="32"/>
  <c r="G19" i="32"/>
  <c r="F19" i="32"/>
  <c r="G17" i="32"/>
  <c r="F17" i="32"/>
  <c r="G16" i="32"/>
  <c r="F16" i="32"/>
  <c r="G15" i="32"/>
  <c r="F15" i="32"/>
  <c r="G14" i="32"/>
  <c r="F14" i="32"/>
  <c r="G13" i="32"/>
  <c r="F13" i="32"/>
  <c r="G12" i="32"/>
  <c r="F12" i="32"/>
  <c r="G11" i="32"/>
  <c r="F11" i="32"/>
  <c r="G10" i="32"/>
  <c r="F10" i="32"/>
  <c r="G9" i="32"/>
  <c r="F9" i="32"/>
  <c r="G8" i="32"/>
  <c r="F8" i="32"/>
  <c r="G7" i="32"/>
  <c r="F7" i="32"/>
  <c r="G6" i="32"/>
  <c r="F6" i="32"/>
  <c r="G5" i="32"/>
  <c r="F5" i="32"/>
  <c r="J3" i="32"/>
  <c r="K3" i="32" s="1"/>
  <c r="L3" i="32" s="1"/>
  <c r="M3" i="32" s="1"/>
  <c r="N3" i="32" s="1"/>
  <c r="O3" i="32" s="1"/>
  <c r="P3" i="32" s="1"/>
  <c r="Q3" i="32" s="1"/>
  <c r="R3" i="32" s="1"/>
  <c r="S3" i="32" s="1"/>
  <c r="T3" i="32" s="1"/>
  <c r="U3" i="32" s="1"/>
  <c r="V3" i="32" s="1"/>
  <c r="W3" i="32" s="1"/>
  <c r="X3" i="32" s="1"/>
  <c r="Y3" i="32" s="1"/>
  <c r="Z3" i="32" s="1"/>
  <c r="AA3" i="32" s="1"/>
  <c r="AB3" i="32" s="1"/>
  <c r="AC3" i="32" s="1"/>
  <c r="AD3" i="32" s="1"/>
  <c r="AE3" i="32" s="1"/>
  <c r="AF3" i="32" s="1"/>
  <c r="AG3" i="32" s="1"/>
  <c r="AH3" i="32" s="1"/>
  <c r="AI3" i="32" s="1"/>
  <c r="AJ3" i="32" s="1"/>
  <c r="AK3" i="32" s="1"/>
  <c r="AL3" i="32" s="1"/>
  <c r="AM3" i="32" s="1"/>
  <c r="AN3" i="32" s="1"/>
  <c r="AO3" i="32" s="1"/>
  <c r="AP3" i="32" s="1"/>
  <c r="AQ3" i="32" s="1"/>
  <c r="AR3" i="32" s="1"/>
  <c r="AS3" i="32" s="1"/>
  <c r="AT3" i="32" s="1"/>
  <c r="AU3" i="32" s="1"/>
  <c r="AV3" i="32" s="1"/>
  <c r="AW3" i="32" s="1"/>
  <c r="AX3" i="32" s="1"/>
  <c r="AY3" i="32" s="1"/>
  <c r="AZ3" i="32" s="1"/>
  <c r="BA1" i="32"/>
  <c r="C26" i="6"/>
  <c r="D26" i="6"/>
  <c r="B27" i="6"/>
  <c r="C27" i="6"/>
  <c r="C29" i="6" s="1"/>
  <c r="D27" i="6"/>
  <c r="B28" i="6"/>
  <c r="C28" i="6"/>
  <c r="D28" i="6"/>
  <c r="B29" i="6"/>
  <c r="D29" i="6"/>
  <c r="K7" i="6"/>
  <c r="L7" i="6" s="1"/>
  <c r="K6" i="6"/>
  <c r="L6" i="6" s="1"/>
  <c r="D18" i="6"/>
  <c r="D17" i="6"/>
  <c r="C18" i="6"/>
  <c r="E18" i="6" s="1"/>
  <c r="C17" i="6"/>
  <c r="E20" i="6"/>
  <c r="E21" i="6"/>
  <c r="E19" i="6"/>
  <c r="E7" i="6"/>
  <c r="E8" i="6"/>
  <c r="E9" i="6"/>
  <c r="E10" i="6"/>
  <c r="E11" i="6"/>
  <c r="E12" i="6"/>
  <c r="E13" i="6"/>
  <c r="E14" i="6"/>
  <c r="E15" i="6"/>
  <c r="E6" i="6"/>
  <c r="F6" i="6" s="1"/>
  <c r="H9" i="31"/>
  <c r="H8" i="31"/>
  <c r="H12" i="31"/>
  <c r="H11" i="31"/>
  <c r="H7" i="31"/>
  <c r="H10" i="31"/>
  <c r="K8" i="6" l="1"/>
  <c r="L8" i="6" s="1"/>
  <c r="E17" i="6"/>
  <c r="F17" i="6" s="1"/>
  <c r="F18" i="6" s="1"/>
  <c r="F7" i="6"/>
  <c r="F8" i="6" s="1"/>
  <c r="F9" i="6" s="1"/>
  <c r="F10" i="6" s="1"/>
  <c r="F11" i="6" s="1"/>
  <c r="F12" i="6" s="1"/>
  <c r="F13" i="6" s="1"/>
  <c r="F14" i="6" s="1"/>
  <c r="F15" i="6" s="1"/>
  <c r="F19" i="6" s="1"/>
  <c r="F20" i="6" s="1"/>
  <c r="F21" i="6" s="1"/>
  <c r="K9" i="6" l="1"/>
  <c r="L9" i="6"/>
  <c r="K10" i="6"/>
  <c r="K11" i="6" l="1"/>
  <c r="L10" i="6"/>
  <c r="K12" i="6" l="1"/>
  <c r="L11" i="6"/>
  <c r="L12" i="6" l="1"/>
  <c r="K13" i="6"/>
  <c r="K14" i="6" l="1"/>
  <c r="L13" i="6"/>
  <c r="L14" i="6" l="1"/>
  <c r="K15" i="6"/>
  <c r="K16" i="6" l="1"/>
  <c r="L15" i="6"/>
  <c r="K17" i="6" l="1"/>
  <c r="L17" i="6" s="1"/>
  <c r="L16" i="6"/>
  <c r="BA1" i="30" l="1"/>
  <c r="J3" i="30"/>
  <c r="K3" i="30" s="1"/>
  <c r="L3" i="30" s="1"/>
  <c r="M3" i="30" s="1"/>
  <c r="N3" i="30" s="1"/>
  <c r="O3" i="30" s="1"/>
  <c r="P3" i="30" s="1"/>
  <c r="Q3" i="30" s="1"/>
  <c r="R3" i="30" s="1"/>
  <c r="S3" i="30" s="1"/>
  <c r="T3" i="30" s="1"/>
  <c r="U3" i="30" s="1"/>
  <c r="V3" i="30" s="1"/>
  <c r="W3" i="30" s="1"/>
  <c r="X3" i="30" s="1"/>
  <c r="Y3" i="30" s="1"/>
  <c r="Z3" i="30" s="1"/>
  <c r="AA3" i="30" s="1"/>
  <c r="AB3" i="30" s="1"/>
  <c r="AC3" i="30" s="1"/>
  <c r="AD3" i="30" s="1"/>
  <c r="AE3" i="30" s="1"/>
  <c r="AF3" i="30" s="1"/>
  <c r="AG3" i="30" s="1"/>
  <c r="AH3" i="30" s="1"/>
  <c r="AI3" i="30" s="1"/>
  <c r="AJ3" i="30" s="1"/>
  <c r="AK3" i="30" s="1"/>
  <c r="AL3" i="30" s="1"/>
  <c r="AM3" i="30" s="1"/>
  <c r="AN3" i="30" s="1"/>
  <c r="AO3" i="30" s="1"/>
  <c r="AP3" i="30" s="1"/>
  <c r="AQ3" i="30" s="1"/>
  <c r="AR3" i="30" s="1"/>
  <c r="AS3" i="30" s="1"/>
  <c r="AT3" i="30" s="1"/>
  <c r="AU3" i="30" s="1"/>
  <c r="AV3" i="30" s="1"/>
  <c r="AW3" i="30" s="1"/>
  <c r="AX3" i="30" s="1"/>
  <c r="AY3" i="30" s="1"/>
  <c r="AZ3" i="30" s="1"/>
  <c r="F75" i="32" l="1"/>
  <c r="G75" i="32"/>
  <c r="G18" i="32" l="1"/>
  <c r="F18" i="32"/>
  <c r="G199" i="1" l="1"/>
  <c r="J21" i="6"/>
</calcChain>
</file>

<file path=xl/sharedStrings.xml><?xml version="1.0" encoding="utf-8"?>
<sst xmlns="http://schemas.openxmlformats.org/spreadsheetml/2006/main" count="4217" uniqueCount="1103">
  <si>
    <t>Número</t>
  </si>
  <si>
    <t>Título</t>
  </si>
  <si>
    <t>Local de Execução de Serviço</t>
  </si>
  <si>
    <t>SS-100/2025</t>
  </si>
  <si>
    <t>Mecânica - Betim</t>
  </si>
  <si>
    <t>Aguardando Planejamento</t>
  </si>
  <si>
    <t>SS-99/2025</t>
  </si>
  <si>
    <t>Alimentação dos cinco compressores no SMS</t>
  </si>
  <si>
    <t>Elétrica e Instrumentação- Betim</t>
  </si>
  <si>
    <t>SS-98/2025</t>
  </si>
  <si>
    <t>SS-97/2025</t>
  </si>
  <si>
    <t>SS-96/2025</t>
  </si>
  <si>
    <t>PLANEJAMENTO E GESTÃO</t>
  </si>
  <si>
    <t>Encaminhado p/ o fornecedor</t>
  </si>
  <si>
    <t>SS-94/2025</t>
  </si>
  <si>
    <t>IN - 5250-20-001 - ETDI - BOMBAS DO PPI - MECANICA</t>
  </si>
  <si>
    <t>SS-93/2025</t>
  </si>
  <si>
    <t>Reforço do Muro da APAE</t>
  </si>
  <si>
    <t>CIVIL (Projetos e Monit e Manutenção de Barragem) - Ibirité</t>
  </si>
  <si>
    <t>SS-92/2025</t>
  </si>
  <si>
    <t>Drenagem Pluvial do Prédio do GPI</t>
  </si>
  <si>
    <t>Civil (projeto e manutenção civil) - Betim</t>
  </si>
  <si>
    <t>Em Andamento</t>
  </si>
  <si>
    <t>SS-80/2025</t>
  </si>
  <si>
    <t>Fornecimento de Bens - Envelope Elétrico</t>
  </si>
  <si>
    <t>Receber Materiais - Regap-Betim</t>
  </si>
  <si>
    <t>SS-79/2025</t>
  </si>
  <si>
    <t>SS-76/2025</t>
  </si>
  <si>
    <t>IN-5250-23-014 - Novo Laboratório de Integridade da IE</t>
  </si>
  <si>
    <t>SS-74/2025</t>
  </si>
  <si>
    <t>IN - 5250-20-001 - ETDI - CONTAMINADA FASE 2 - CIVIL</t>
  </si>
  <si>
    <t>SS-73/2025</t>
  </si>
  <si>
    <t>IN - 5250-20-001 - ETDI - BOMBAS DO PPI - CIVIL</t>
  </si>
  <si>
    <t>SS-62/2025</t>
  </si>
  <si>
    <t>IN - 5250-20-001 - ETDI - FRENTE 01 - BOMBAS DO PPI - ELÉTRICA</t>
  </si>
  <si>
    <t>SS-61/2025</t>
  </si>
  <si>
    <t>IN - 5250-20-001 - ETDI - REDE CONTAMINADA</t>
  </si>
  <si>
    <t>SS-60/2025</t>
  </si>
  <si>
    <t>IN - 5250-20-001 - ETDI - DESARENADOR</t>
  </si>
  <si>
    <t>SS-56/2025</t>
  </si>
  <si>
    <t>Manutenção da U-123 - Parada da Torre</t>
  </si>
  <si>
    <t>SS-47/2025</t>
  </si>
  <si>
    <t>FORNECIMENTO DE CONTAINER - OBRA GPI</t>
  </si>
  <si>
    <t>SS-46/2025</t>
  </si>
  <si>
    <t>FORNECIMENTO DE CONTAINER - OBRA SMS</t>
  </si>
  <si>
    <t>SS-42/2025</t>
  </si>
  <si>
    <t>SS-41/2025</t>
  </si>
  <si>
    <t>SS-40/2025</t>
  </si>
  <si>
    <t>SS-39/2025</t>
  </si>
  <si>
    <t>SS-31/2025</t>
  </si>
  <si>
    <t>IN - 5250-25-100 - Melhoria dos Cabos dos Ventiladores da U123</t>
  </si>
  <si>
    <t>SS-30/2025</t>
  </si>
  <si>
    <t>Topografia e Limpeza Córrego de Palmeiras</t>
  </si>
  <si>
    <t>SS-27/2025</t>
  </si>
  <si>
    <t>SS-21/2025</t>
  </si>
  <si>
    <t>IN - 5250-23-005 - Substituição PLCs ALTUS CP2</t>
  </si>
  <si>
    <t>SS-9/2025</t>
  </si>
  <si>
    <t>IN - 5250-19-005 - PT-123 - MODERNIZAÇÃO DA SUBESTAÇÃO</t>
  </si>
  <si>
    <t>Disciplina</t>
  </si>
  <si>
    <t>Valor Saldo</t>
  </si>
  <si>
    <t>Valor Global</t>
  </si>
  <si>
    <t>Total Geral</t>
  </si>
  <si>
    <t>Soma de Valor Saldo</t>
  </si>
  <si>
    <t>PAINEL DE GESTÃO - SS'S</t>
  </si>
  <si>
    <t>SS-112/2025</t>
  </si>
  <si>
    <t>IN - 5250-24-014 - 121TQ98CD</t>
  </si>
  <si>
    <t>SS-116/2025</t>
  </si>
  <si>
    <t>FORNECIMENTO DE CONTAINER - OBRA ED</t>
  </si>
  <si>
    <t>SS-114/2025</t>
  </si>
  <si>
    <t>SS-113/2025</t>
  </si>
  <si>
    <t>IN-5250-23-014 - Novo Laboratório de Integridade da IE - Detalhamento</t>
  </si>
  <si>
    <t>IN-GOG</t>
  </si>
  <si>
    <t>GOG</t>
  </si>
  <si>
    <t>IN</t>
  </si>
  <si>
    <t xml:space="preserve">DETALHAMENTO DE VALORES - SALDO A FATURAR </t>
  </si>
  <si>
    <t>SS-137/2025</t>
  </si>
  <si>
    <t>FORNECIMENTO DE CONTAINER - OBRA SMS E GPI - Bens</t>
  </si>
  <si>
    <t>SS-136/2025</t>
  </si>
  <si>
    <t>SS-135/2025</t>
  </si>
  <si>
    <t>SS-134/2025</t>
  </si>
  <si>
    <t>SS-133/2025</t>
  </si>
  <si>
    <t>IN - 5250-24-085 - Phase-Out do Diesel S500 - Projeto</t>
  </si>
  <si>
    <t>SS-132/2025</t>
  </si>
  <si>
    <t>Envelope Elétrico GPI</t>
  </si>
  <si>
    <t>SS-131/2025</t>
  </si>
  <si>
    <t>Manutenção Civil - Apoio ao PM - Setembro/2025</t>
  </si>
  <si>
    <t>SS-130/2025</t>
  </si>
  <si>
    <t>Apoio de Equipe de Alpinistas - Setembro/2025</t>
  </si>
  <si>
    <t>SS-129/2025</t>
  </si>
  <si>
    <t>Monitoramento das Barragens - Setembro/2025</t>
  </si>
  <si>
    <t>SS-128/2025</t>
  </si>
  <si>
    <t>Apoio para PROJ - As Built - Setembro/2025</t>
  </si>
  <si>
    <t>SS-127/2025</t>
  </si>
  <si>
    <t>Apoio para PROJ - Empreendimento - Setembro/2025</t>
  </si>
  <si>
    <t>SS-126/2025</t>
  </si>
  <si>
    <t>Apoio de HS - Civil - Setembro/2025</t>
  </si>
  <si>
    <t>SS-125/2025</t>
  </si>
  <si>
    <t>Apoio de HS - Elétrica/Instrumentação - Setembro/2025</t>
  </si>
  <si>
    <t>SS-124/2025</t>
  </si>
  <si>
    <t>Apoio de HS - Andaime - Setembro/2025</t>
  </si>
  <si>
    <t>SS-123/2025</t>
  </si>
  <si>
    <t>Apoio de HS - Mecânica - Setembro/2025</t>
  </si>
  <si>
    <t>SS-122/2025</t>
  </si>
  <si>
    <t>Manutenção Civil - Rotina - Setembro/2025</t>
  </si>
  <si>
    <t>SS-121/2025</t>
  </si>
  <si>
    <t>Serviço de Apoio - Movimentação de Carga e Disponibilização de Equipamento - Setembro/2025</t>
  </si>
  <si>
    <t>SS-120/2025</t>
  </si>
  <si>
    <t>Infraestrutura e Gestão - Parcela Fixa de Gestão - Setembro/2025</t>
  </si>
  <si>
    <t>SS-119/2025</t>
  </si>
  <si>
    <t>SS-118/2025</t>
  </si>
  <si>
    <t>IN - 5250-24-046 - Galpão S2A</t>
  </si>
  <si>
    <t>SS-117/2025</t>
  </si>
  <si>
    <t>Adequação Escadas de Marinheiro - Projeto</t>
  </si>
  <si>
    <t>Faturado Acumulado</t>
  </si>
  <si>
    <t>SS-1/2025</t>
  </si>
  <si>
    <t>Manutenção Civil - Março</t>
  </si>
  <si>
    <t>Concluída</t>
  </si>
  <si>
    <t>SS-2/2025</t>
  </si>
  <si>
    <t>Infraestrutura e Gestão - Mobilização</t>
  </si>
  <si>
    <t>SS-3/2025</t>
  </si>
  <si>
    <t>Serviço de Apoio - Movimentação de Carga e Disponibilização de Equipamento</t>
  </si>
  <si>
    <t>Cancelada</t>
  </si>
  <si>
    <t>SS-4/2025</t>
  </si>
  <si>
    <t>Infraestrutura e Gestão - Parcela Fixa de Gestão</t>
  </si>
  <si>
    <t>SS-5/2025</t>
  </si>
  <si>
    <t>SS-6/2025</t>
  </si>
  <si>
    <t>SS-7/2025</t>
  </si>
  <si>
    <t>SS-8/2025</t>
  </si>
  <si>
    <t>IN - 5250-24-014 - SPDA 38TQ2801AB, 121TQ98CD, 213TQ03</t>
  </si>
  <si>
    <t>SS-10/2025</t>
  </si>
  <si>
    <t>Serviço de Apoio - Movimentação de Carga e Disponibilização de Equipamento - Abril/2025</t>
  </si>
  <si>
    <t>SS-11/2025</t>
  </si>
  <si>
    <t>Infraestrutura e Gestão - Parcela Fixa de Gestão - Abril/2025</t>
  </si>
  <si>
    <t>SS-12/2025</t>
  </si>
  <si>
    <t>Manutenção Civil - Rotina - Abril/2025</t>
  </si>
  <si>
    <t>SS-13/2025</t>
  </si>
  <si>
    <t>SS-14/2025</t>
  </si>
  <si>
    <t>Manutenção do Tanque 47Z14</t>
  </si>
  <si>
    <t>SS-15/2025</t>
  </si>
  <si>
    <t>SS-16/2025</t>
  </si>
  <si>
    <t>Reforma Galpão Av. B</t>
  </si>
  <si>
    <t>SS-17/2025</t>
  </si>
  <si>
    <t>Reparo da Estrutura de Concreto do Flare</t>
  </si>
  <si>
    <t>SS-18/2025</t>
  </si>
  <si>
    <t>Montar plataforma de acesso Poço 1 e 2</t>
  </si>
  <si>
    <t>SS-19/2025</t>
  </si>
  <si>
    <t>SS-20/2025</t>
  </si>
  <si>
    <t>Desmontagem de Andaime na ETE</t>
  </si>
  <si>
    <t>SS-22/2025</t>
  </si>
  <si>
    <t>Reforma do Vestiário Feminino - Reforço estrutural</t>
  </si>
  <si>
    <t>SS-23/2025</t>
  </si>
  <si>
    <t>SS-24/2025</t>
  </si>
  <si>
    <t>SS-25/2025</t>
  </si>
  <si>
    <t>ADEQUAÇÃO DE NR-13 NA REGAP</t>
  </si>
  <si>
    <t>SS-26/2025</t>
  </si>
  <si>
    <t>IN - 5250-25-100 - Realocação dos Motores da Capela</t>
  </si>
  <si>
    <t>SS-28/2025</t>
  </si>
  <si>
    <t>IN - 5250-24-014 - 213TQ03</t>
  </si>
  <si>
    <t>SS-29/2025</t>
  </si>
  <si>
    <t>Estudo Hidrográfico Córrego Palmeiras</t>
  </si>
  <si>
    <t>SS-32/2025</t>
  </si>
  <si>
    <t>Levantamento de Campo - PT-00</t>
  </si>
  <si>
    <t>SS-33/2025</t>
  </si>
  <si>
    <t>Apoio de HS - Mecânica - Maio/2025</t>
  </si>
  <si>
    <t>SS-34/2025</t>
  </si>
  <si>
    <t>Apoio de HS - Andaime - Maio/2025</t>
  </si>
  <si>
    <t>SS-35/2025</t>
  </si>
  <si>
    <t>Apoio de HS - Elétrica/Instrumentação - Maio/2025</t>
  </si>
  <si>
    <t>SS-36/2025</t>
  </si>
  <si>
    <t>Apoio de HS - Civil - Maio/2025</t>
  </si>
  <si>
    <t>SS-37/2025</t>
  </si>
  <si>
    <t>SS-38/2025</t>
  </si>
  <si>
    <t>IN - 5250-19-015 - Controle de Cheias da REGAP - Galerias</t>
  </si>
  <si>
    <t>SS-43/2025</t>
  </si>
  <si>
    <t>Reforma Galpão Pipe Shop Central</t>
  </si>
  <si>
    <t>SS-44/2025</t>
  </si>
  <si>
    <t>Apoio para As Built</t>
  </si>
  <si>
    <t>SS-45/2025</t>
  </si>
  <si>
    <t>Balança do Coque</t>
  </si>
  <si>
    <t>SS-48/2025</t>
  </si>
  <si>
    <t>Estudo Hipotético de Ruptura de Barragens</t>
  </si>
  <si>
    <t>SS-49/2025</t>
  </si>
  <si>
    <t>IN-5250-17-003 - Termopares nos pilotos dos Flares 29-F-2002/2003</t>
  </si>
  <si>
    <t>SS-50/2025</t>
  </si>
  <si>
    <t>Instalação de Hidrômetro na UFV</t>
  </si>
  <si>
    <t>SS-51/2025</t>
  </si>
  <si>
    <t>Reforma da Portaria 3</t>
  </si>
  <si>
    <t>SS-52/2025</t>
  </si>
  <si>
    <t>SS-53/2025</t>
  </si>
  <si>
    <t>Serviço de Apoio - Movimentação de Carga e Disponibilização de Equipamento - Maio/2025</t>
  </si>
  <si>
    <t>SS-54/2025</t>
  </si>
  <si>
    <t>Infraestrutura e Gestão - Parcela Fixa de Gestão - Maio/2025</t>
  </si>
  <si>
    <t>SS-55/2025</t>
  </si>
  <si>
    <t>Manutenção Civil - Rotina - Maio/2025</t>
  </si>
  <si>
    <t>SS-57/2025</t>
  </si>
  <si>
    <t>RELATÓRIO DE INSPEÇÃO DE SEGURANÇA REGULAR</t>
  </si>
  <si>
    <t>SS-58/2025</t>
  </si>
  <si>
    <t>REVISÃO PERIÓDICA DE SEGURANÇA DE BARRAGENS</t>
  </si>
  <si>
    <t>SS-59/2025</t>
  </si>
  <si>
    <t>IN - 5250-19-015 - Controle de Cheias da REGAP - Muretas - Azuis</t>
  </si>
  <si>
    <t>SS-63/2025</t>
  </si>
  <si>
    <t>Apoio para PROJ - Empreendimento</t>
  </si>
  <si>
    <t>SS-64/2025</t>
  </si>
  <si>
    <t>Infraestrutura e Gestão - Parcela Fixa de Gestão - Junho/2025</t>
  </si>
  <si>
    <t>SS-65/2025</t>
  </si>
  <si>
    <t>Serviço de Apoio - Movimentação de Carga e Disponibilização de Equipamento - Junho/2025</t>
  </si>
  <si>
    <t>SS-66/2025</t>
  </si>
  <si>
    <t>SS-67/2025</t>
  </si>
  <si>
    <t>Apoio de HS - Mecânica - Junho/2025</t>
  </si>
  <si>
    <t>SS-68/2025</t>
  </si>
  <si>
    <t>SS-69/2025</t>
  </si>
  <si>
    <t>Apoio de HS - Elétrica/Instrumentação - Junho/2025</t>
  </si>
  <si>
    <t>SS-70/2025</t>
  </si>
  <si>
    <t>Apoio de HS - Civil - Junho/2025</t>
  </si>
  <si>
    <t>SS-71/2025</t>
  </si>
  <si>
    <t>SS-72/2025</t>
  </si>
  <si>
    <t>SS-75/2025</t>
  </si>
  <si>
    <t>IN - 5250-24-014 - 38TQ2801AB</t>
  </si>
  <si>
    <t>SS-77/2025</t>
  </si>
  <si>
    <t>IN - 5250-16-012 - REPARO DO TRILHO - PONTE ROLANTE COQUE</t>
  </si>
  <si>
    <t>SS-78/2025</t>
  </si>
  <si>
    <t>SS-81/2025</t>
  </si>
  <si>
    <t>Monitoramento das Barragens - Junho/2025</t>
  </si>
  <si>
    <t>SS-82/2025</t>
  </si>
  <si>
    <t>Infraestrutura e Gestão - Parcela Fixa de Gestão - Julho/2025</t>
  </si>
  <si>
    <t>SS-83/2025</t>
  </si>
  <si>
    <t>Serviço de Apoio - Movimentação de Carga e Disponibilização de Equipamento - Julho/2025</t>
  </si>
  <si>
    <t>SS-84/2025</t>
  </si>
  <si>
    <t>Manutenção Civil - Rotina - Julho/2025</t>
  </si>
  <si>
    <t>SS-85/2025</t>
  </si>
  <si>
    <t>Apoio de HS - Mecânica - Julho/2025</t>
  </si>
  <si>
    <t>SS-86/2025</t>
  </si>
  <si>
    <t>SS-87/2025</t>
  </si>
  <si>
    <t>Apoio de HS - Elétrica/Instrumentação - Julho/2025</t>
  </si>
  <si>
    <t>SS-88/2025</t>
  </si>
  <si>
    <t>Apoio de HS - Civil - Julho/2025</t>
  </si>
  <si>
    <t>SS-89/2025</t>
  </si>
  <si>
    <t>Apoio para PROJ - Empreendimento - Julho/2025</t>
  </si>
  <si>
    <t>SS-90/2025</t>
  </si>
  <si>
    <t>Apoio para PROJ - As Built - Julho/2025</t>
  </si>
  <si>
    <t>SS-91/2025</t>
  </si>
  <si>
    <t>Monitoramento das Barragens - Julho/2025</t>
  </si>
  <si>
    <t>SS-95/2025</t>
  </si>
  <si>
    <t>Apoio de Equipe de Alpinistas - Julho/2025</t>
  </si>
  <si>
    <t>SS-101/2025</t>
  </si>
  <si>
    <t>Infraestrutura e Gestão - Parcela Fixa de Gestão - Agosto/2025</t>
  </si>
  <si>
    <t>SS-102/2025</t>
  </si>
  <si>
    <t>Serviço de Apoio - Movimentação de Carga e Disponibilização de Equipamento - Agosto/2025</t>
  </si>
  <si>
    <t>SS-103/2025</t>
  </si>
  <si>
    <t>Manutenção Civil - Rotina - Agosto/2025</t>
  </si>
  <si>
    <t>SS-104/2025</t>
  </si>
  <si>
    <t>Apoio de HS - Mecânica - Agosto/2025</t>
  </si>
  <si>
    <t>SS-105/2025</t>
  </si>
  <si>
    <t>Apoio de HS - Andaime - Agosto/2025</t>
  </si>
  <si>
    <t>SS-106/2025</t>
  </si>
  <si>
    <t>Apoio de HS - Elétrica/Instrumentação - Agosto/2025</t>
  </si>
  <si>
    <t>SS-107/2025</t>
  </si>
  <si>
    <t>Apoio de HS - Civil - Agosto/2025</t>
  </si>
  <si>
    <t>SS-108/2025</t>
  </si>
  <si>
    <t>Apoio para PROJ - Empreendimento - Agosto/2025</t>
  </si>
  <si>
    <t>SS-109/2025</t>
  </si>
  <si>
    <t>Apoio para PROJ - As Built - Agosto/2025</t>
  </si>
  <si>
    <t>SS-110/2025</t>
  </si>
  <si>
    <t>Monitoramento das Barragens - Agosto/2025</t>
  </si>
  <si>
    <t>SS-111/2025</t>
  </si>
  <si>
    <t>Apoio de Equipe de Alpinistas - Agosto/2025</t>
  </si>
  <si>
    <t>SS-115/2025</t>
  </si>
  <si>
    <t>Manutenção Civil - Apoio ao PM - Agosto/2025</t>
  </si>
  <si>
    <t>TOTAL</t>
  </si>
  <si>
    <t>SS-153/2025</t>
  </si>
  <si>
    <t>IN - 5250-24-051 - Melhoria do Acesso aos TQ´s de Escuros 27-TQ-116-A/B/C/D/E/F - Bens</t>
  </si>
  <si>
    <t>Aguardando Aprovação</t>
  </si>
  <si>
    <t>SS-152/2025</t>
  </si>
  <si>
    <t>IN - 5250-25-012 - Melhoria acesso bloco P 27-TQ-01 L e N - Bens</t>
  </si>
  <si>
    <t>SS-151/2025</t>
  </si>
  <si>
    <t>IN - 5250-25-011 - Melhoria acesso bloco P 27-TQ-01K e M - Bens</t>
  </si>
  <si>
    <t>SS-150/2025</t>
  </si>
  <si>
    <t>IN - 5250-25-010 - Melhoria acesso bloco K 27-TQ-01C, D e E - Bens</t>
  </si>
  <si>
    <t>SS-149/2025</t>
  </si>
  <si>
    <t>SS-148/2025</t>
  </si>
  <si>
    <t>IN - 5250-24-075 - Substituição PLC ALTUS CP4</t>
  </si>
  <si>
    <t>SS-147/2025</t>
  </si>
  <si>
    <t>IN - 5250-24-074 - Adequações para Recebimento de C5+ - Elétrica</t>
  </si>
  <si>
    <t>SS-146/2025</t>
  </si>
  <si>
    <t>IN - 5250-24-074 - Adequações para Recebimento de C5+ - Mecânica</t>
  </si>
  <si>
    <t>SS-145/2025</t>
  </si>
  <si>
    <t>IN - 5250-24-074 - Adequações para Recebimento de C5+ - Civil</t>
  </si>
  <si>
    <t>SS-144/2025</t>
  </si>
  <si>
    <t>IN - 5250-19-003 - Modernização dos painéis de distribuição PT-121 - Civil</t>
  </si>
  <si>
    <t>SS-143/2025</t>
  </si>
  <si>
    <t>IN - 5250-24-015 - Aumento da Vazão de Venda de Gasolina - Elétrica</t>
  </si>
  <si>
    <t>SS-142/2025</t>
  </si>
  <si>
    <t>IN - 5250-24-015 - Aumento da Vazão de Venda de Gasolina - Mecânica</t>
  </si>
  <si>
    <t>SS-141/2025</t>
  </si>
  <si>
    <t>IN - 5250-20-001 - ETDI - Bens</t>
  </si>
  <si>
    <t>SS-140/2025</t>
  </si>
  <si>
    <t>IN - 5250-24-050 - Melhoria de Acesso TQ96D - Bens</t>
  </si>
  <si>
    <t>SS-139/2025</t>
  </si>
  <si>
    <t>SS-138/2025</t>
  </si>
  <si>
    <t>SS-175/2025</t>
  </si>
  <si>
    <t>IN - 5250-24-051 - Melhoria do Acesso aos TQ´s de Escuros 27-TQ-116-D/F - Fabricação</t>
  </si>
  <si>
    <t>SS-174/2025</t>
  </si>
  <si>
    <t>IN - 5250-24-051 - Melhoria do Acesso aos TQ´s de Escuros 27-TQ-116-C/E - Fabricação</t>
  </si>
  <si>
    <t>SS-173/2025</t>
  </si>
  <si>
    <t>IN - 5250-24-051 - Melhoria do Acesso aos TQ´s de Escuros 27-TQ-116-A/B - Fabricação</t>
  </si>
  <si>
    <t>SS-172/2025</t>
  </si>
  <si>
    <t>IN - 5250-24-051 - Melhoria do Acesso aos TQ´s de Escuros 27-TQ-116-D/F - Montagem</t>
  </si>
  <si>
    <t>SS-171/2025</t>
  </si>
  <si>
    <t>IN - 5250-24-051 - Melhoria do Acesso aos TQ´s de Escuros 27-TQ-116-C/E - Montagem</t>
  </si>
  <si>
    <t>SS-169/2025</t>
  </si>
  <si>
    <t>IN - 5250-25-010 - Melhoria acesso bloco K 27-TQ-01 C e D - Fabricação</t>
  </si>
  <si>
    <t>SS-168/2025</t>
  </si>
  <si>
    <t>IN - 5250-25-012 - Melhoria acesso bloco P 27-TQ-01 L e N - Fabricação</t>
  </si>
  <si>
    <t>SS-167/2025</t>
  </si>
  <si>
    <t>IN - 5250-25-010 - Melhoria acesso bloco K 27-TQ-01 E - Fabricação</t>
  </si>
  <si>
    <t>SS-166/2025</t>
  </si>
  <si>
    <t>IN - 5250-25-010 - Melhoria acesso bloco K 27-TQ-01 E - Montagem</t>
  </si>
  <si>
    <t>SS-165/2025</t>
  </si>
  <si>
    <t>Manutenção Civil - Apoio ao PM - Outubro/2025</t>
  </si>
  <si>
    <t>SS-164/2025</t>
  </si>
  <si>
    <t>Apoio de Equipe de Alpinistas - Outubro/2025</t>
  </si>
  <si>
    <t>SS-163/2025</t>
  </si>
  <si>
    <t>Monitoramento das Barragens - Outubro/2025</t>
  </si>
  <si>
    <t>SS-162/2025</t>
  </si>
  <si>
    <t>Apoio para PROJ - As Built - Outubro/2025</t>
  </si>
  <si>
    <t>SS-161/2025</t>
  </si>
  <si>
    <t>Apoio para PROJ - Empreendimento - Outubro/2025</t>
  </si>
  <si>
    <t>SS-160/2025</t>
  </si>
  <si>
    <t>Apoio de HS - Civil - Outubro/2025</t>
  </si>
  <si>
    <t>SS-159/2025</t>
  </si>
  <si>
    <t>Apoio de HS - Elétrica/Instrumentação - Outubro/2025</t>
  </si>
  <si>
    <t>SS-158/2025</t>
  </si>
  <si>
    <t>Apoio de HS - Andaime - Outubro/2025</t>
  </si>
  <si>
    <t>SS-157/2025</t>
  </si>
  <si>
    <t>SS-156/2025</t>
  </si>
  <si>
    <t>Manutenção Civil - Rotina - Outubro/2025</t>
  </si>
  <si>
    <t>SS-155/2025</t>
  </si>
  <si>
    <t>SS-154/2025</t>
  </si>
  <si>
    <t>IN - 5250-25-011 - Melhoria acesso bloco P 27-TQ-01 K e M - Fabricação</t>
  </si>
  <si>
    <t>SS-170/2025</t>
  </si>
  <si>
    <t>IN - 5250-24-051 - Melhoria do Acesso aos TQ´s de Escuros 27-TQ-116-A/B - Montagem</t>
  </si>
  <si>
    <t>MAR</t>
  </si>
  <si>
    <t>ABR</t>
  </si>
  <si>
    <t>MAI</t>
  </si>
  <si>
    <t>JUN</t>
  </si>
  <si>
    <t>JUL</t>
  </si>
  <si>
    <t>AGO</t>
  </si>
  <si>
    <t>SET</t>
  </si>
  <si>
    <t>Cobertura do Pátio de Enxofre</t>
  </si>
  <si>
    <t>,</t>
  </si>
  <si>
    <t>SS-201/2025</t>
  </si>
  <si>
    <t>Cobertura do EI - Bens</t>
  </si>
  <si>
    <t>SS-200/2025</t>
  </si>
  <si>
    <t>Cobertura do EI - Civil</t>
  </si>
  <si>
    <t>SS-199/2025</t>
  </si>
  <si>
    <t>IN - 5250-19-005 - PT-123 - MODERNIZAÇÃO DA SUBESTAÇÃO - Bens</t>
  </si>
  <si>
    <t>SS-198/2025</t>
  </si>
  <si>
    <t>IN - 5250-24-074 - Adequações para Recebimento de C5+ - Bens</t>
  </si>
  <si>
    <t>SS-197/2025</t>
  </si>
  <si>
    <t>Apoio à UFV</t>
  </si>
  <si>
    <t>SS-196/2025</t>
  </si>
  <si>
    <t>SS-195/2025</t>
  </si>
  <si>
    <t>SS-194/2025</t>
  </si>
  <si>
    <t>Ampliação da Copa do IE - Civil</t>
  </si>
  <si>
    <t>SS-193/2025</t>
  </si>
  <si>
    <t>Ampliação da Copa do IE - Elétrica</t>
  </si>
  <si>
    <t>SS-192/2025</t>
  </si>
  <si>
    <t>SS-191/2025</t>
  </si>
  <si>
    <t>IN-5250-25-100 - CIVIL - ADAPTAÇÕES PARA VENDA DIRETA DE DIESEL</t>
  </si>
  <si>
    <t>SS-190/2025</t>
  </si>
  <si>
    <t>IN-5250-25-100 - ELÉTRICA - ADAPTAÇÕES PARA VENDA DIRETA DE DIESEL</t>
  </si>
  <si>
    <t>SS-176/2025</t>
  </si>
  <si>
    <t>IN-5250-25-100 - MECÂNICA - ADAPTAÇÕES PARA VENDA DIRETA DE DIESEL</t>
  </si>
  <si>
    <t>OUT</t>
  </si>
  <si>
    <t>SS-229/2025</t>
  </si>
  <si>
    <t>SS-228/2025</t>
  </si>
  <si>
    <t>SS-227/2025</t>
  </si>
  <si>
    <t>Acesso ao Tanque 01A</t>
  </si>
  <si>
    <t>SS-214/2025</t>
  </si>
  <si>
    <t>Manutenção Civil - Apoio ao PM - Dezembro/2025</t>
  </si>
  <si>
    <t>SS-213/2025</t>
  </si>
  <si>
    <t>Apoio de Equipe de Alpinistas - Dezembro/2025</t>
  </si>
  <si>
    <t>SS-212/2025</t>
  </si>
  <si>
    <t>Monitoramento das Barragens - Dezembro/2025</t>
  </si>
  <si>
    <t>SS-211/2025</t>
  </si>
  <si>
    <t>Apoio para PROJ - As Built - Dezembro/2025</t>
  </si>
  <si>
    <t>SS-210/2025</t>
  </si>
  <si>
    <t>Apoio para PROJ - Empreendimento - Dezembro/2025</t>
  </si>
  <si>
    <t>SS-209/2025</t>
  </si>
  <si>
    <t>Apoio de HS - Civil - Dezembro/2025</t>
  </si>
  <si>
    <t>SS-208/2025</t>
  </si>
  <si>
    <t>Apoio de HS - Elétrica/Instrumentação - Dezembro/2025</t>
  </si>
  <si>
    <t>SS-207/2025</t>
  </si>
  <si>
    <t>Apoio de HS - Andaime - Dezembro/2025</t>
  </si>
  <si>
    <t>SS-206/2025</t>
  </si>
  <si>
    <t>Apoio de HS - Mecânica - Dezembro/2025</t>
  </si>
  <si>
    <t>SS-205/2025</t>
  </si>
  <si>
    <t>Manutenção Civil - Rotina - Dezembro/2025</t>
  </si>
  <si>
    <t>SS-204/2025</t>
  </si>
  <si>
    <t>Serviço de Apoio - Movimentação de Carga e Disponibilização de Equipamento - Dezembro/2025</t>
  </si>
  <si>
    <t>SS-203/2025</t>
  </si>
  <si>
    <t>Infraestrutura e Gestão - Parcela Fixa de Gestão - Dezembro/2025</t>
  </si>
  <si>
    <t>SS-202/2025</t>
  </si>
  <si>
    <t>RADIER TRANSPOSIÇÃO ADUTORA - UFV</t>
  </si>
  <si>
    <t>Fornecimento de Bens - SS-31/2025</t>
  </si>
  <si>
    <t>SS-189/2025</t>
  </si>
  <si>
    <t>Apoio - Setembro / Outubro - 2025</t>
  </si>
  <si>
    <t>SS-188/2025</t>
  </si>
  <si>
    <t>Manutenção Civil - Apoio ao PM - Novembro/2025</t>
  </si>
  <si>
    <t>SS-187/2025</t>
  </si>
  <si>
    <t>Apoio de Equipe de Alpinistas - Novembro/2025</t>
  </si>
  <si>
    <t>SS-186/2025</t>
  </si>
  <si>
    <t>Monitoramento das Barragens - Novembro/2025</t>
  </si>
  <si>
    <t>SS-185/2025</t>
  </si>
  <si>
    <t>Apoio para PROJ - As Built - Novembro/2025</t>
  </si>
  <si>
    <t>SS-184/2025</t>
  </si>
  <si>
    <t>Apoio para PROJ - Empreendimento - Novembro/2025</t>
  </si>
  <si>
    <t>SS-183/2025</t>
  </si>
  <si>
    <t>Apoio de HS - Civil - Novembro/2025</t>
  </si>
  <si>
    <t>SS-182/2025</t>
  </si>
  <si>
    <t>Apoio de HS - Elétrica/Instrumentação - Novembro/2025</t>
  </si>
  <si>
    <t>SS-181/2025</t>
  </si>
  <si>
    <t>Apoio de HS - Andaime - Novembro/2025</t>
  </si>
  <si>
    <t>SS-180/2025</t>
  </si>
  <si>
    <t>Apoio de HS - Mecânica -Novembro/2025</t>
  </si>
  <si>
    <t>SS-179/2025</t>
  </si>
  <si>
    <t>Manutenção Civil - Rotina - Novembro/2025</t>
  </si>
  <si>
    <t>SS-178/2025</t>
  </si>
  <si>
    <t>Serviço de Apoio - Movimentação de Carga e Disponibilização de Equipamento - Novembro/2025</t>
  </si>
  <si>
    <t>SS-177/2025</t>
  </si>
  <si>
    <t>Infraestrutura e Gestão - Parcela Fixa de Gestão - Novembro/2025</t>
  </si>
  <si>
    <t>Apoio de HS - Mecânica - Outubro/2025</t>
  </si>
  <si>
    <t>Serviço de Apoio - Movimentação de Carga e Disponibilização de Equipamento - Outubro/2025</t>
  </si>
  <si>
    <t>Infraestrutura e Gestão - Parcela Fixa de Gestão - Outubro/2025</t>
  </si>
  <si>
    <t>Aguardando Aprovação da Revisão</t>
  </si>
  <si>
    <t>Desmontagem da U-54 - Fase I -Civil</t>
  </si>
  <si>
    <t>Desmontagem da U-54 - Fase I - Elétrica/Instrumentação</t>
  </si>
  <si>
    <t>Desmontagem da U-54 - Fase I - Mecânica</t>
  </si>
  <si>
    <t>Cobertura do EI - Mecânica</t>
  </si>
  <si>
    <t>IN - 5250-25-012 - Melhoria acesso bloco P 27-TQ-01 L e N - Montagem</t>
  </si>
  <si>
    <t>IN - 5250-25-011 - Melhoria acesso bloco P 27-TQ-01 K e M - Montagem</t>
  </si>
  <si>
    <t>IN - 5250-25-010 - Melhoria acesso bloco K 27-TQ-01 C e D - Montagem</t>
  </si>
  <si>
    <t>Apoio de HS - Andaime - Julho/2025</t>
  </si>
  <si>
    <t>ENVELOPE ELÉTRICO ALIMENTAÇÃO VESTIÁRIO - CIVIL</t>
  </si>
  <si>
    <t>IN-5250-25-100 - Alimentação Elétrica Skids Rejeito U-147</t>
  </si>
  <si>
    <t>Em Revisão</t>
  </si>
  <si>
    <t>Apoio para PROJ - As Built - Junho/2025</t>
  </si>
  <si>
    <t>Apoio de HS - Andaime - Junho/2025</t>
  </si>
  <si>
    <t>Manutenção Civil - Rotina - Junho/2025</t>
  </si>
  <si>
    <t>RECUPERAÇÃO DE ESTRUTURA DE CONCRETO 123-Z-003 - Pré Parada</t>
  </si>
  <si>
    <t>IN - 5250-19-015 - Controle de Cheias da REGAP - Muretas - Verdes</t>
  </si>
  <si>
    <t>IN - 5250-25-100 - Sistema de AR - U25</t>
  </si>
  <si>
    <t>APOIO DE CAMPO ANEXO EBD UDAV-II</t>
  </si>
  <si>
    <t>Reforma do Vestiário Masculino - Reforço estrutural</t>
  </si>
  <si>
    <t>IN - 5250-18-003 - Atualização do SDCD da U-52</t>
  </si>
  <si>
    <t>Reparos Estruturais da U123</t>
  </si>
  <si>
    <t>Reforma da Copa - Reforço estrutural</t>
  </si>
  <si>
    <t>IN - 5250-24-028 - GAT NA UDAV-I</t>
  </si>
  <si>
    <t>IN - 5250-24-049 - DESC. CATALISADOR 03V33 P/ SILOS 03V01/02</t>
  </si>
  <si>
    <t>IN - 5250-16-012 - MODERNIZAÇÃO DA PONTE ROLANTE DO COQUE</t>
  </si>
  <si>
    <t>NOV</t>
  </si>
  <si>
    <t>SS-7/2026</t>
  </si>
  <si>
    <t>Georadar PT-200</t>
  </si>
  <si>
    <t>SS-6/2026</t>
  </si>
  <si>
    <t>Georadar Revamp</t>
  </si>
  <si>
    <t>SS-5/2026</t>
  </si>
  <si>
    <t>SS-4/2026</t>
  </si>
  <si>
    <t>IN-5250-24-013 - ALIMENTAÇÕES PROVISÓRIAS TAF - SDCD CCF-I</t>
  </si>
  <si>
    <t>SS-3/2026</t>
  </si>
  <si>
    <t>Escaneamento a laser da Unidade U-121</t>
  </si>
  <si>
    <t>SS-2/2026</t>
  </si>
  <si>
    <t>PT-200 - Escavação Manual para Pré Furos e Fundação</t>
  </si>
  <si>
    <t>SS-1/2026</t>
  </si>
  <si>
    <t>Adequação Escadas de Marinheiro - Execução</t>
  </si>
  <si>
    <t>SS-236/2025</t>
  </si>
  <si>
    <t>Apoio ao GPI</t>
  </si>
  <si>
    <t>SS-235/2025</t>
  </si>
  <si>
    <t>Apoio ao S2</t>
  </si>
  <si>
    <t>SS-234/2025</t>
  </si>
  <si>
    <t>Apoio DATA BOOK - Até Novembro/2025</t>
  </si>
  <si>
    <t>SS-233/2025</t>
  </si>
  <si>
    <t>Fornecimento de Bens - SS-62/2025</t>
  </si>
  <si>
    <t>SS-232/2025</t>
  </si>
  <si>
    <t>SS-231/2025</t>
  </si>
  <si>
    <t>Apoio ao SMS</t>
  </si>
  <si>
    <t>SS-230/2025</t>
  </si>
  <si>
    <t>Acesso ao Tanque 36C, F e G</t>
  </si>
  <si>
    <t>IN - 5250-17-007 - LIBERAÇÃO 103-TG-01</t>
  </si>
  <si>
    <t>IN - 5250-17-007 - MODERNIZAÇÃO TURBO EXPANSOR 103-TG-01 - ELÉTRICA</t>
  </si>
  <si>
    <t>Reprovado pelo responsável</t>
  </si>
  <si>
    <t>SS-226/2025</t>
  </si>
  <si>
    <t>Manutenção Civil - Apoio ao PM - Janeiro/2026</t>
  </si>
  <si>
    <t>SS-225/2025</t>
  </si>
  <si>
    <t>Apoio de Equipe de Alpinistas - Janeiro/2026</t>
  </si>
  <si>
    <t>SS-224/2025</t>
  </si>
  <si>
    <t>Monitoramento das Barragens - Janeiro/2026</t>
  </si>
  <si>
    <t>SS-223/2025</t>
  </si>
  <si>
    <t>Apoio para PROJ - As Built - Janeiro/2026</t>
  </si>
  <si>
    <t>SS-222/2025</t>
  </si>
  <si>
    <t>Apoio para PROJ - Empreendimento - Janeiro/2026</t>
  </si>
  <si>
    <t>SS-221/2025</t>
  </si>
  <si>
    <t>Apoio de HS - Civil - Janeiro/2026</t>
  </si>
  <si>
    <t>SS-220/2025</t>
  </si>
  <si>
    <t>Apoio de HS - Elétrica/Instrumentação - Janeiro/2026</t>
  </si>
  <si>
    <t>SS-219/2025</t>
  </si>
  <si>
    <t>Apoio de HS - Andaime - Janeiro/2026</t>
  </si>
  <si>
    <t>SS-218/2025</t>
  </si>
  <si>
    <t>Apoio de HS - Mecânica - Janeiro/2026</t>
  </si>
  <si>
    <t>SS-217/2025</t>
  </si>
  <si>
    <t>Manutenção Civil - Rotina - Janeiro/2026</t>
  </si>
  <si>
    <t>SS-216/2025</t>
  </si>
  <si>
    <t>Serviço de Apoio - Movimentação de Carga e Disponibilização de Equipamento - Janeiro/2026</t>
  </si>
  <si>
    <t>SS-215/2025</t>
  </si>
  <si>
    <t>Infraestrutura e Gestão - Parcela Fixa de Gestão - Janeiro/2026</t>
  </si>
  <si>
    <t>Fornecimento de Bens - SS-132/2025 - Envelope Elétrico GPI</t>
  </si>
  <si>
    <t>IN-5250-24-050 - Melhoria de Acesso TQ96D</t>
  </si>
  <si>
    <t>Status SAMC</t>
  </si>
  <si>
    <t>Descrição</t>
  </si>
  <si>
    <t>Status Real</t>
  </si>
  <si>
    <t>Civil</t>
  </si>
  <si>
    <t>Elétrica</t>
  </si>
  <si>
    <t>Materiais</t>
  </si>
  <si>
    <t>Rótulos de Linha</t>
  </si>
  <si>
    <t>Aguardando Class Contabil</t>
  </si>
  <si>
    <t>Contagem de Número</t>
  </si>
  <si>
    <t>DEZ</t>
  </si>
  <si>
    <t>JAN</t>
  </si>
  <si>
    <t>FEV</t>
  </si>
  <si>
    <t>Status SAMC Real</t>
  </si>
  <si>
    <t>Contagem de Valor Saldo</t>
  </si>
  <si>
    <t>%</t>
  </si>
  <si>
    <t>PERIODO</t>
  </si>
  <si>
    <t>ACUM</t>
  </si>
  <si>
    <t>MATERIAIS</t>
  </si>
  <si>
    <t>Fornecimento de Bens - SS-132/2025</t>
  </si>
  <si>
    <t>SS-8/2026</t>
  </si>
  <si>
    <t>Adequação Escadas de Marinheiro - Execução UDAV 01/02</t>
  </si>
  <si>
    <t>SS-9/2026</t>
  </si>
  <si>
    <t>Adequação Escadas de Marinheiro - Fornecimento de Bens</t>
  </si>
  <si>
    <t>SS-14/2026</t>
  </si>
  <si>
    <t>PMBC - 5250-26-100 - ALTERAÇÕES - HAZOP DA U-001 E U-101</t>
  </si>
  <si>
    <t>SS-16/2026</t>
  </si>
  <si>
    <t>PMBC - 5250-26-100 - HAZOP DA U-001 E U-101 - BENS</t>
  </si>
  <si>
    <t>SS-36/2026</t>
  </si>
  <si>
    <t>Manutenção Civil - Linha do Flare na Av. 8</t>
  </si>
  <si>
    <t>SS-38/2026</t>
  </si>
  <si>
    <t>IN-5250-24-092 - PT-200 - Estrutura Metálica - Fornecimento de Bens</t>
  </si>
  <si>
    <t>SS-39/2026</t>
  </si>
  <si>
    <t>IN-5250-24-092 - PT-200 - Estrutura Metálica - Fabricação</t>
  </si>
  <si>
    <t>SS-40/2026</t>
  </si>
  <si>
    <t>IN-5250-24-092 - PT-200 - Estrutura Metálica - Montagem</t>
  </si>
  <si>
    <t>SS-41/2026</t>
  </si>
  <si>
    <t>IN-5250-24-092 - PT-200 - Civil e Fundações</t>
  </si>
  <si>
    <t>SS-42/2026</t>
  </si>
  <si>
    <t>IN-5250-24-092 - PT-200 - Civil e Arquitetura</t>
  </si>
  <si>
    <t>SS-43/2026</t>
  </si>
  <si>
    <t>IN - 5250-24-085 - Phase-Out do Diesel S500 - Mudança 2.1 - Aquisição de Bens (Tubovias)</t>
  </si>
  <si>
    <t>SS-44/2026</t>
  </si>
  <si>
    <t>IN - 5250-24-085 - Phase-Out do Diesel S500 - Mudança 2.1 - Fabricação (Tubovias)</t>
  </si>
  <si>
    <t>SS-45/2026</t>
  </si>
  <si>
    <t>IN - 5250-24-085 - Phase-Out do Diesel S500 - Mudança 2.1 - Montagem (Tubovias)</t>
  </si>
  <si>
    <t>SS-47/2026</t>
  </si>
  <si>
    <t>5250-24-043 - Aumento da Capacidade e Cobertura SAO (TOPOGRAFIA)</t>
  </si>
  <si>
    <t>SS-48/2026</t>
  </si>
  <si>
    <t>RTSB 2025 - TOPOGRAFIA - BARRAGEM IBIRITÉ</t>
  </si>
  <si>
    <t>SS-49/2026</t>
  </si>
  <si>
    <t>IN-5250-24-092 - LEVANTAMENTO TOPOGRÁFICO PT-200 x PT-00</t>
  </si>
  <si>
    <t>SS-50/2026</t>
  </si>
  <si>
    <t>Infraestrutura e Gestão - Parcela Fixa de Gestão - Abril/2026</t>
  </si>
  <si>
    <t>SS-51/2026</t>
  </si>
  <si>
    <t>Serviço de Apoio - Movimentação de Carga e Disponibilização de Equipamento - Abril/2026</t>
  </si>
  <si>
    <t>SS-52/2026</t>
  </si>
  <si>
    <t>Manutenção Civil - Rotina - Abril/2026</t>
  </si>
  <si>
    <t>SS-53/2026</t>
  </si>
  <si>
    <t>Apoio de HS - Mecânica - Abril/2026</t>
  </si>
  <si>
    <t>SS-54/2026</t>
  </si>
  <si>
    <t>Apoio de HS - Andaime - Abril/2026</t>
  </si>
  <si>
    <t>SS-55/2026</t>
  </si>
  <si>
    <t>Apoio de HS - Elétrica/Instrumentação -Abril/2026</t>
  </si>
  <si>
    <t>SS-56/2026</t>
  </si>
  <si>
    <t>Apoio de HS - Civil - Abril/2026</t>
  </si>
  <si>
    <t>SS-57/2026</t>
  </si>
  <si>
    <t>Apoio para PROJ - Empreendimento - Abril/2026</t>
  </si>
  <si>
    <t>SS-58/2026</t>
  </si>
  <si>
    <t>Apoio para PROJ - As Built - Abril/2026</t>
  </si>
  <si>
    <t>SS-59/2026</t>
  </si>
  <si>
    <t>Monitoramento das Barragens - Abril/2026</t>
  </si>
  <si>
    <t>SS-60/2026</t>
  </si>
  <si>
    <t>Apoio de Equipe de Alpinistas - Abril/2026</t>
  </si>
  <si>
    <t>SS-61/2026</t>
  </si>
  <si>
    <t>Manutenção Civil - Apoio ao PM - Abril/2026</t>
  </si>
  <si>
    <t>SS-62/2026</t>
  </si>
  <si>
    <t>RECOMPOSIÇÃO DA REDE DE DRENAGEM P3</t>
  </si>
  <si>
    <t>SS-63/2026</t>
  </si>
  <si>
    <t>Rede Envelopada - Armazéns S5 x S6</t>
  </si>
  <si>
    <t>SS-64/2026</t>
  </si>
  <si>
    <t>Manutenção e reparo do asfalto</t>
  </si>
  <si>
    <t>SS-65/2026</t>
  </si>
  <si>
    <t>ATIVIDADE HS - LIMPEZA DE ROTA - ÁREA ETE</t>
  </si>
  <si>
    <t>SS-66/2026</t>
  </si>
  <si>
    <t>CALDEIRAS 0121-F-001 ABC - FUNDAÇÃO PARA GRUA</t>
  </si>
  <si>
    <t>SS-67/2026</t>
  </si>
  <si>
    <t>IN-5250-24-062 - Adequações CEM´s - Mudança 1 - U-003 (Instrumentação)</t>
  </si>
  <si>
    <t>SS-68/2026</t>
  </si>
  <si>
    <t>IN-5250-24-062 - Adequações CEM´s - Mudança 2 - U-103 (Elétrica)</t>
  </si>
  <si>
    <t>SS-69/2026</t>
  </si>
  <si>
    <t>IN-5250-24-062 - Adequações CEM´s - Mudança 2 - U-103 (Instrumentação)</t>
  </si>
  <si>
    <t>SS-70/2026</t>
  </si>
  <si>
    <t>IN-5250-24-062 - Adequações CEM´s - Mudança 3 - U-114 (Elétrica)</t>
  </si>
  <si>
    <t>SS-71/2026</t>
  </si>
  <si>
    <t>IN-5250-24-062 - Adequações CEM´s - Mudança 3 - U-114 (Instrumentação)</t>
  </si>
  <si>
    <t>SS-72/2026</t>
  </si>
  <si>
    <t>IN-5250-24-062 - Adequações CEM´s - Mudança 4 - U-121 (Instrumentação)</t>
  </si>
  <si>
    <t>SS-73/2026</t>
  </si>
  <si>
    <t>ELÉTRICA E INSTRUMENTAÇÃO - ALIMENTAÇÕES PROVISÓRIAS TAF - SDCD UDAV II</t>
  </si>
  <si>
    <t>SS-74/2026</t>
  </si>
  <si>
    <t>TOPOGRAFIA - 0027-TQ-0035B</t>
  </si>
  <si>
    <t>SS-75/2026</t>
  </si>
  <si>
    <t>TOPOGRAFIA - 0027-TQ-0037B</t>
  </si>
  <si>
    <t>SS-76/2026</t>
  </si>
  <si>
    <t>TOPOGRAFIA - 0027-TQ-0001N</t>
  </si>
  <si>
    <t>SS-77/2026</t>
  </si>
  <si>
    <t>TOPOGRAFIA - 0027-TQ-0001E</t>
  </si>
  <si>
    <t>SS-78/2026</t>
  </si>
  <si>
    <t>DRENAGEM TUBOVIA DIRECIONADA PARA ALE</t>
  </si>
  <si>
    <t>SS-79/2026</t>
  </si>
  <si>
    <t>UNIDADE 47 - TANQUE DE ÁGUA ÁCIDA</t>
  </si>
  <si>
    <t>SS-80/2026</t>
  </si>
  <si>
    <t>FURO DE SONDAGEM - REATOR 110-R-01</t>
  </si>
  <si>
    <t>SS-81/2026</t>
  </si>
  <si>
    <t>TOPOGRAFIA U-623 / DRENAGEM PLUVIAL - BLOCO L</t>
  </si>
  <si>
    <t>SS-82/2026</t>
  </si>
  <si>
    <t>TOPOGRAFIA - DRENAGEM CONTAMINADA BLOCO G</t>
  </si>
  <si>
    <t>SS-83/2026</t>
  </si>
  <si>
    <t>SS-84/2026</t>
  </si>
  <si>
    <t>IN-5250-23-030 - SECAGEM DO AR PRIORITÁRIO CCF-II - CIVIL</t>
  </si>
  <si>
    <t>SS-85/2026</t>
  </si>
  <si>
    <t>IN-5250-23-030 - SECAGEM DO AR PRIORITÁRIO CCF-II - TUBULAÇÃO FABRICAÇÃO</t>
  </si>
  <si>
    <t>SS-86/2026</t>
  </si>
  <si>
    <t>IN-5250-23-030 - SECAGEM DO AR PRIORITÁRIO CCF-II - TUBULAÇÃO MONTAGEM</t>
  </si>
  <si>
    <t>SS-87/2026</t>
  </si>
  <si>
    <t>IN-5250-23-030 - SECAGEM DO AR PRIORITÁRIO CCF-II - MECÂNICA - MONTAGEM DO VASO</t>
  </si>
  <si>
    <t>SS-88/2026</t>
  </si>
  <si>
    <t>IN-5250-23-030 - SECAGEM DO AR PRIORITÁRIO CCF-II - INSTRUMENTAÇÃO</t>
  </si>
  <si>
    <t>SS-89/2026</t>
  </si>
  <si>
    <t>Manutenção Civil - PÁTIO DE ENXOFRE</t>
  </si>
  <si>
    <t>SS-90/2026</t>
  </si>
  <si>
    <t>Manutenção Civil - CANAL DE PINTADOS</t>
  </si>
  <si>
    <t>SS-96/2026</t>
  </si>
  <si>
    <t>CFTV U-47 e seccionadoras PT-123</t>
  </si>
  <si>
    <t>SS-97/2026</t>
  </si>
  <si>
    <t>REF0143952_108-FV-0084 /FT-084 CORIOLIS (TUBULAÇÃO)</t>
  </si>
  <si>
    <t>SS-98/2026</t>
  </si>
  <si>
    <t>REF0143952_108-FV-0084 /FT-084 CORIOLIS (INSTRUMENTAÇÃO)</t>
  </si>
  <si>
    <t>SS-99/2026</t>
  </si>
  <si>
    <t>REF0143952_108-FV-0084 /FT-084 CORIOLIS (AUTOMAÇÃO)</t>
  </si>
  <si>
    <t>SS-101/2026</t>
  </si>
  <si>
    <t>CONEXÃO FISICA SCADA UFV - SWITCH RAI CIC (400-PN-58)</t>
  </si>
  <si>
    <t>SS-102/2026</t>
  </si>
  <si>
    <t>REF0186396 - Sondagem GPR (Georadar) - IN-5250-24-092: AMPLIAÇÃO DO PT-200 E MODERNIZAÇÃO DE EQUIPAMENTOS</t>
  </si>
  <si>
    <t>SS-103/2026</t>
  </si>
  <si>
    <t>PMBC MIGRAÇÃO DAS BOMBAS DA U-0047 PARA O SDCD</t>
  </si>
  <si>
    <t>SS-106/2026</t>
  </si>
  <si>
    <t>LIMPEZA DA ÁREA MA/PM</t>
  </si>
  <si>
    <t>SS-108/2026</t>
  </si>
  <si>
    <t>IN - 5250-24-085 - Phase-Out do Diesel S500 - Mudança 4.1 - Aquisição de Bens (Tubovias)</t>
  </si>
  <si>
    <t>SS-109/2026</t>
  </si>
  <si>
    <t>IN - 5250-24-085 - Phase-Out do Diesel S500 - Mudança 4.1 - Fabricação (Tubovias)</t>
  </si>
  <si>
    <t>SS-110/2026</t>
  </si>
  <si>
    <t>IN - 5250-24-085 - Phase-Out do Diesel S500 - Mudança 4.1 - Montagem (Tubovias)</t>
  </si>
  <si>
    <t>SS-123/2026</t>
  </si>
  <si>
    <t>IN-5250-23-017 - TERRAPLANAGEM U-623</t>
  </si>
  <si>
    <t>SS-124/2026</t>
  </si>
  <si>
    <t>121-F-01 ABC - DEMOLIÇÃO BASE DA GRUA</t>
  </si>
  <si>
    <t>SS-125/2026</t>
  </si>
  <si>
    <t>U-110 - DEMOLIÇÃO FUNDAÇÃO - 110-R-01</t>
  </si>
  <si>
    <t>SS-126/2026</t>
  </si>
  <si>
    <t>U-110 - CONSTRUÇÃO FUNDAÇÃO - 110-R-01</t>
  </si>
  <si>
    <t>SS-128/2026</t>
  </si>
  <si>
    <t>FORNECIMENTO DE BENS - ALIMENTAÇÕES PROVISÓRIAS TAF - SDCD UDAV II</t>
  </si>
  <si>
    <t>SS-130/2026</t>
  </si>
  <si>
    <t>U-623 - RELOCAÇÃO TUBULAÇÃO SELAGEM - FABRICAÇÃO</t>
  </si>
  <si>
    <t>SS-131/2026</t>
  </si>
  <si>
    <t>U-623 - RELOCAÇÃO TUBULAÇÃO SELAGEM - MONTAGEM</t>
  </si>
  <si>
    <t>SS-132/2026</t>
  </si>
  <si>
    <t>U-623 - RELOCAÇÃO TUBULAÇÃO RACE - FABRICAÇÃO</t>
  </si>
  <si>
    <t>SS-133/2026</t>
  </si>
  <si>
    <t>U-623 - RELOCAÇÃO TUBULAÇÃO RACE - MONTAGEM</t>
  </si>
  <si>
    <t>SS-134/2026</t>
  </si>
  <si>
    <t>U-623 - RELOCAÇÃO TUBULAÇÕES - CIVIL</t>
  </si>
  <si>
    <t>SS-135/2026</t>
  </si>
  <si>
    <t>UN-623 - PONTILHÃO (AVENIDA "D") - CIVIL</t>
  </si>
  <si>
    <t>SS-136/2026</t>
  </si>
  <si>
    <t>UN-623 - CASA DE QUÍMICOS - CIVIL</t>
  </si>
  <si>
    <t>SS-137/2026</t>
  </si>
  <si>
    <t>UN-623 - CASA DE QUÍMICOS - ESTRUTURA METÁLICA</t>
  </si>
  <si>
    <t>SS-138/2026</t>
  </si>
  <si>
    <t>SS-139/2026</t>
  </si>
  <si>
    <t>UN-623 - CASA DE QUÍMICOS - FORNECIMENTO DE BENS</t>
  </si>
  <si>
    <t>Mecânica</t>
  </si>
  <si>
    <t>Gestão</t>
  </si>
  <si>
    <t>Início BL</t>
  </si>
  <si>
    <t>Término BL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</si>
  <si>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</si>
  <si>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</si>
  <si>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</si>
  <si>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</si>
  <si>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</si>
  <si>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</si>
  <si>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</si>
  <si>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</si>
  <si>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</si>
  <si>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</si>
  <si>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</si>
  <si>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</si>
  <si>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</si>
  <si>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</si>
  <si>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</si>
  <si>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</si>
  <si>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</si>
  <si>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</si>
  <si>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</si>
  <si>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</si>
  <si>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</si>
  <si>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</si>
  <si>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</si>
  <si>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</si>
  <si>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</si>
  <si>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</si>
  <si>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</si>
  <si>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</si>
  <si>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</si>
  <si>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</si>
  <si>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</si>
  <si>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</si>
  <si>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</si>
  <si>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</si>
  <si>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</si>
  <si>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</si>
  <si>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</si>
  <si>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</si>
  <si>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</si>
  <si>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</si>
  <si>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S1</t>
  </si>
  <si>
    <t>S2</t>
  </si>
  <si>
    <t>S3</t>
  </si>
  <si>
    <t>S4</t>
  </si>
  <si>
    <t>INICIO BL</t>
  </si>
  <si>
    <t>TERM BL</t>
  </si>
  <si>
    <t>STATUS SAMC</t>
  </si>
  <si>
    <t>STATUS OBRA</t>
  </si>
  <si>
    <t>STAND BY</t>
  </si>
  <si>
    <t>EM ANDAMENTO</t>
  </si>
  <si>
    <t>INICIO CURTO PRAZO</t>
  </si>
  <si>
    <t>INICIO ATRASADO</t>
  </si>
  <si>
    <t>INICIO MEDIO PRAZO</t>
  </si>
  <si>
    <t>TOPOGRAFIA</t>
  </si>
  <si>
    <t>EM PLANEJAMENTO</t>
  </si>
  <si>
    <t>EM REPLANEJAMENTO</t>
  </si>
  <si>
    <t>TIME LINE - CARTEIRA DE OBRAS</t>
  </si>
  <si>
    <t>SERVIÇOS</t>
  </si>
  <si>
    <t>Saldo (R$)</t>
  </si>
  <si>
    <t>Acum</t>
  </si>
  <si>
    <t>Saldo Carteira SAMC</t>
  </si>
  <si>
    <t>ROTINA</t>
  </si>
  <si>
    <t>PROJETO</t>
  </si>
  <si>
    <t>DETALHAMENTO DE STATUS DAS OBRAS</t>
  </si>
  <si>
    <t>STATUS DAS SS'S - ANDAMENTO</t>
  </si>
  <si>
    <t>CONTAGEM</t>
  </si>
  <si>
    <t>STATUS DAS SS'S - ANDAMENTO&amp;SAMC</t>
  </si>
  <si>
    <t>EM REPLANEJ</t>
  </si>
  <si>
    <t>EM PLANEJ</t>
  </si>
  <si>
    <t>PAINEL DE GESTÃO - SS'S - ANDAMENTOS</t>
  </si>
  <si>
    <t>CARTEIRA REGAP</t>
  </si>
  <si>
    <t>SS-257/2026</t>
  </si>
  <si>
    <t>MODELAGEM 3D - UN-121</t>
  </si>
  <si>
    <t>SS-256/2026</t>
  </si>
  <si>
    <t>IN-5250-23-021 - UFV - FORNECIMENTO MATERIAIS</t>
  </si>
  <si>
    <t>SS-246/2026</t>
  </si>
  <si>
    <t>IN-5250-24-085 - Phase-Out do Diesel S500 - Elétria/Instrumentação/Automação</t>
  </si>
  <si>
    <t>SS-245/2026</t>
  </si>
  <si>
    <t>IN-5250-24-085 - Phase-Out do Diesel S500 - Elétria/Instrumentação/Automação - Fornecimento Materiais</t>
  </si>
  <si>
    <t>SS-244/2026</t>
  </si>
  <si>
    <t>IN-5250-24-085 - Phase-Out do Diesel S500 - Mudança 5 - Montagem</t>
  </si>
  <si>
    <t>SS-243/2026</t>
  </si>
  <si>
    <t>IN-5250-24-085 - Phase-Out do Diesel S500 - Mudança 5 - Fabricação</t>
  </si>
  <si>
    <t>SS-242/2026</t>
  </si>
  <si>
    <t>IN-5250-24-085 - Phase-Out do Diesel S500 - Mudança 5 - Aquisição de Bens</t>
  </si>
  <si>
    <t>SS-241/2026</t>
  </si>
  <si>
    <t>IN-5250-24-085 - Phase-Out do Diesel S500 - Mudança 4.2 - Montagem (Bacia de Tanques)</t>
  </si>
  <si>
    <t>SS-240/2026</t>
  </si>
  <si>
    <t>IN-5250-24-085 - Phase-Out do Diesel S500 - Mudança 4.2 - Fabricação (Bacia de Tanques)</t>
  </si>
  <si>
    <t>SS-239/2026</t>
  </si>
  <si>
    <t>IN-5250-24-085 - Phase-Out do Diesel S500 - Mudança 4.2 - Aquisição de Bens (Bacia de Tanques)</t>
  </si>
  <si>
    <t>SS-238/2026</t>
  </si>
  <si>
    <t>IN-5250-24-085 - Phase-Out do Diesel S500 - Mudança 3 - Montagem</t>
  </si>
  <si>
    <t>SS-237/2026</t>
  </si>
  <si>
    <t>SS-236/2026</t>
  </si>
  <si>
    <t>IN-5250-24-085 - Phase-Out do Diesel S500 - Mudança 3 - Aquisição de Bens</t>
  </si>
  <si>
    <t>SS-235/2026</t>
  </si>
  <si>
    <t>IN-5250-24-085 - Phase-Out do Diesel S500 - Mudança 2.2 - Montagem (Bacia de Tanques)</t>
  </si>
  <si>
    <t>SS-234/2026</t>
  </si>
  <si>
    <t>IN-5250-24-085 - Phase-Out do Diesel S500 - Mudança 2.2 - Fabricação (Bacia de Tanques)</t>
  </si>
  <si>
    <t>SS-233/2026</t>
  </si>
  <si>
    <t>IN-5250-24-085 - Phase-Out do Diesel S500 - Mudança 2.2 - Aquisição de Bens (Bacia de Tanques)</t>
  </si>
  <si>
    <t>SS-232/2026</t>
  </si>
  <si>
    <t>IN-5250-24-085 - Phase-Out do Diesel S500 - Mudança 1 - Montagem</t>
  </si>
  <si>
    <t>SS-231/2026</t>
  </si>
  <si>
    <t>IN-5250-24-085 - Phase-Out do Diesel S500 - Mudança 1 - Fabricação</t>
  </si>
  <si>
    <t>SS-230/2026</t>
  </si>
  <si>
    <t>IN-5250-24-085 - Phase-Out do Diesel S500 - Mudança 1 - Aquisição de Bens</t>
  </si>
  <si>
    <t>SS-229/2026</t>
  </si>
  <si>
    <t>ESTUDO TÉCNICO ABASTECIMENTO DE ÁGUA</t>
  </si>
  <si>
    <t>SS-218/2026</t>
  </si>
  <si>
    <t>PMBC MIGRAÇÃO DAS BOMBAS DA U-0047 PARA O SDCD - CIVIL</t>
  </si>
  <si>
    <t>SS-217/2026</t>
  </si>
  <si>
    <t>Topografia - Córrego Ibirité - FEMA/LOC B. Ibirité</t>
  </si>
  <si>
    <t>SS-216/2026</t>
  </si>
  <si>
    <t>ELABORAÇÃO DE PROJETO - CLASSIFICAÇÃO DE ÁREA</t>
  </si>
  <si>
    <t>SS-215/2026</t>
  </si>
  <si>
    <t>5250-25-016 - Nova URO - Unid. de Recuperação de Óleo - Sondagem e Topografia</t>
  </si>
  <si>
    <t>SS-214/2026</t>
  </si>
  <si>
    <t>IN-5250-20-001 - ETDI - FABRICAÇÃO SUPORTES FoFo</t>
  </si>
  <si>
    <t>SS-213/2026</t>
  </si>
  <si>
    <t>Apoio ao PM - Pátio de Hidrojato - Elétrica</t>
  </si>
  <si>
    <t>SS-212/2026</t>
  </si>
  <si>
    <t>Apoio ao PM - Pátio de Hidrojato - Elaboração de Projetos</t>
  </si>
  <si>
    <t>SS-211/2026</t>
  </si>
  <si>
    <t>Apoio ao PM - Pipe Shop das Contratadas - Elétrica</t>
  </si>
  <si>
    <t>SS-210/2026</t>
  </si>
  <si>
    <t>Apoio ao PM - Pipe Shop das Contratadas - Civil e Arquitetura</t>
  </si>
  <si>
    <t>SS-209/2026</t>
  </si>
  <si>
    <t>Apoio ao PM - Pipe Shop das Contratadas - Elaboração de Projetos</t>
  </si>
  <si>
    <t>SS-208/2026</t>
  </si>
  <si>
    <t>Apoio - RO Administrativo</t>
  </si>
  <si>
    <t>SS-207/2026</t>
  </si>
  <si>
    <t>IN-5250-23-019 - Levantamento Topográfico Plataformas U-101</t>
  </si>
  <si>
    <t>SS-206/2026</t>
  </si>
  <si>
    <t>IN-5250-19-003 - Modernização dos Painéis de Distribuição PT-121 A - Estrutura Metálica</t>
  </si>
  <si>
    <t>SS-205/2026</t>
  </si>
  <si>
    <t>IN-5250-19-003 - Modernização dos Painéis de Distribuição PT-121 A - Civil</t>
  </si>
  <si>
    <t>SS-204/2026</t>
  </si>
  <si>
    <t>IN-5250-19-003 - Modernização dos Painéis de Distribuição PT-121 - Civil</t>
  </si>
  <si>
    <t>SS-203/2026</t>
  </si>
  <si>
    <t>IN-5250-25-005 - ETDI - BOMBAS DO PPI - PASSARELA - MECÂNICA</t>
  </si>
  <si>
    <t>SS-202/2026</t>
  </si>
  <si>
    <t>IN-5250-25-005 - ETDI - BOMBAS DO PPI - PASSARELA - BENS</t>
  </si>
  <si>
    <t>SS-201/2026</t>
  </si>
  <si>
    <t>CALDEIRAS 0121-F-001 ABC - FUNDAÇÃO PARA GUINDASTE</t>
  </si>
  <si>
    <t>SS-200/2026</t>
  </si>
  <si>
    <t>IN-5250-24-012 - SDCD - UDAV II - MONTAGEM DOS RACKS DE SERVIDORES NO CIC</t>
  </si>
  <si>
    <t>SS-199/2026</t>
  </si>
  <si>
    <t>SIT EBD - PRÉ FUROS - PLATAFORMAS PERMUTADORES</t>
  </si>
  <si>
    <t>SS-198/2026</t>
  </si>
  <si>
    <t>SIT EBD - PRÉ FUROS - FUNDAÇÃO DO CABLE-RACK</t>
  </si>
  <si>
    <t>SS-197/2026</t>
  </si>
  <si>
    <t>IN-5250-24-013 - SDCD - CCF I - MONTAGEM DOS RACKS DE SERVIDORES NO CIC</t>
  </si>
  <si>
    <t>SS-196/2026</t>
  </si>
  <si>
    <t>DRENAGEM - ESCADA ADUTORA UFV - BENS</t>
  </si>
  <si>
    <t>SS-195/2026</t>
  </si>
  <si>
    <t>PMBC - 27-TQ-01 E - ELABORAÇÃO PROJETOS LGE</t>
  </si>
  <si>
    <t>SS-194/2026</t>
  </si>
  <si>
    <t>U-623 - RELOCAÇÃO INFRAESTRUTURA ELÉTRICA - CIVIL</t>
  </si>
  <si>
    <t>SS-193/2026</t>
  </si>
  <si>
    <t>U-623 - RELOCAÇÃO INFRAESTRUTURA ELÉTRICA - ELÉTRICA</t>
  </si>
  <si>
    <t>SS-192/2026</t>
  </si>
  <si>
    <t>PMBC - REATIVAÇÃO DE BANHEIRO SANITÁRIO - 6° ANDAR REATORES 52-R-01 ABCD - CIVIL</t>
  </si>
  <si>
    <t>SS-191/2026</t>
  </si>
  <si>
    <t>PMBC - REATIVAÇÃO DE BANHEIRO SANITÁRIO - 6° ANDAR REATORES 52-R-01 ABCD - ELABORAÇÃO DE PROJETOS</t>
  </si>
  <si>
    <t>SS-190/2026</t>
  </si>
  <si>
    <t>IN-5250-16-012 - Modernização da Ponte Rolante do Coque - Elétrica</t>
  </si>
  <si>
    <t>SS-189/2026</t>
  </si>
  <si>
    <t>IN-5250-16-012 - Modernização da Ponte Rolante do Coque - Civil</t>
  </si>
  <si>
    <t>SS-188/2026</t>
  </si>
  <si>
    <t>Rede Sanitária Galpão S2</t>
  </si>
  <si>
    <t>SS-187/2026</t>
  </si>
  <si>
    <t>SIT EBD - PRÉ FUROS - FUNDAÇÃO DO PIPE-RAK</t>
  </si>
  <si>
    <t>SS-186/2026</t>
  </si>
  <si>
    <t>REFORMA PRÉDIO DO IE - ELÉTRICA, ILUMINAÇÃO E TOMADAS</t>
  </si>
  <si>
    <t>SS-185/2026</t>
  </si>
  <si>
    <t>REFORMA PRÉDIO DO IE - CILVIL E ARQUITETURA</t>
  </si>
  <si>
    <t>SS-184/2026</t>
  </si>
  <si>
    <t>Rede Envelopada - Armazéns S5 x S6 - Bens</t>
  </si>
  <si>
    <t>SS-183/2026</t>
  </si>
  <si>
    <t>Manutenção Civil - Apoio ao PM - Junho/2026</t>
  </si>
  <si>
    <t>SS-182/2026</t>
  </si>
  <si>
    <t>Monitoramento das Barragens - Junho/2026</t>
  </si>
  <si>
    <t>SS-181/2026</t>
  </si>
  <si>
    <t>Apoio para PROJ - As Built - Junho/2026</t>
  </si>
  <si>
    <t>SS-180/2026</t>
  </si>
  <si>
    <t>Apoio para PROJ - Empreendimento - Junho/2026</t>
  </si>
  <si>
    <t>SS-179/2026</t>
  </si>
  <si>
    <t>Apoio de HS - Civil - Junho/2026</t>
  </si>
  <si>
    <t>SS-178/2026</t>
  </si>
  <si>
    <t>Apoio de HS - Elétrica/Instrumentação - Junho/2026</t>
  </si>
  <si>
    <t>SS-177/2026</t>
  </si>
  <si>
    <t>Apoio de HS - Andaime - Junho/2026</t>
  </si>
  <si>
    <t>SS-176/2026</t>
  </si>
  <si>
    <t>Apoio de HS - Mecânica - Junho/2026</t>
  </si>
  <si>
    <t>SS-175/2026</t>
  </si>
  <si>
    <t>Serviço de Apoio - Movimentação de Carga e Disponibilização de Equipamento - Junho/2026</t>
  </si>
  <si>
    <t>SERVIÇOS DE APOIO - BETIM</t>
  </si>
  <si>
    <t>SS-174/2026</t>
  </si>
  <si>
    <t>Manutenção Civil - Rotina - Junho/2026</t>
  </si>
  <si>
    <t>SS-173/2026</t>
  </si>
  <si>
    <t>Infraestrutura e Gestão - Parcela Fixa de Gestão - Junho/2026</t>
  </si>
  <si>
    <t>SS-172/2026</t>
  </si>
  <si>
    <t>IN-5250-24-027 - Ampliação da CIC - Reforma Prédio Existente - Arquitetura</t>
  </si>
  <si>
    <t>SS-171/2026</t>
  </si>
  <si>
    <t>IN-5250-24-027 - Ampliação da CIC - Reforma Prédio Existente - Civil</t>
  </si>
  <si>
    <t>SS-170/2026</t>
  </si>
  <si>
    <t>IN-5250-24-027 - Ampliação da CIC - Setor Norte - Civil Arquitetura</t>
  </si>
  <si>
    <t>SS-169/2026</t>
  </si>
  <si>
    <t>IN-5250-24-027 - Ampliação da CIC - Setor Norte - Civil e Fundações</t>
  </si>
  <si>
    <t>SS-168/2026</t>
  </si>
  <si>
    <t>IN-5250-24-027 - Ampliação da CIC - Setor Norte - Investigação Underground</t>
  </si>
  <si>
    <t>SS-167/2026</t>
  </si>
  <si>
    <t>IN-5250-24-027 - Ampliação da CIC - Nova Sala de Operação CIC - Civil e Fundações</t>
  </si>
  <si>
    <t>SS-166/2026</t>
  </si>
  <si>
    <t>IN-5250-24-027 - Ampliação da CIC - Nova Sala de Operação CIC - Terraplanagem</t>
  </si>
  <si>
    <t>SS-165/2026</t>
  </si>
  <si>
    <t>IN-5250-24-027 - Ampliação da CIC - Nova Sala de Operação CIC - Investigação Underground</t>
  </si>
  <si>
    <t>SS-164/2026</t>
  </si>
  <si>
    <t>IN-5250-17-007 - 103-TG-01 - FABRICAÇÃO SUPORTE SISTEMA DE PURGA</t>
  </si>
  <si>
    <t>SS-163/2026</t>
  </si>
  <si>
    <t>OFICINA ED - BASE MANDRILHADORA</t>
  </si>
  <si>
    <t>SS-162/2026</t>
  </si>
  <si>
    <t>DRENAGEM - ESCADA ADUTORA UFV</t>
  </si>
  <si>
    <t>SS-161/2026</t>
  </si>
  <si>
    <t>GPI / CASA NOVÍSSIMA - ESCADAS DE MARINHEIRO E GUARDA CORPOS</t>
  </si>
  <si>
    <t>SS-160/2026</t>
  </si>
  <si>
    <t>IN-5250-23-014 - Novo Laboratório de Integridade da IE -Arquitetura e SPCI</t>
  </si>
  <si>
    <t>SS-159/2026</t>
  </si>
  <si>
    <t>IN-5250-23-014 - Novo Laboratório de Integridade da IE - Civil - HVAC</t>
  </si>
  <si>
    <t>SS-158/2026</t>
  </si>
  <si>
    <t>IN-5250-23-014 - Novo Laboratório de Integridade da IE - Civil - Hidrossanitário</t>
  </si>
  <si>
    <t>SS-157/2026</t>
  </si>
  <si>
    <t>IN-5250-23-014 - Novo Laboratório de Integridade da IE - Elétrica</t>
  </si>
  <si>
    <t>SS-156/2026</t>
  </si>
  <si>
    <t>PMBC - REFORMA ADEQUAÇÃO ÁREA DE PEÇAS - BENS</t>
  </si>
  <si>
    <t>SS-155/2026</t>
  </si>
  <si>
    <t>PMBC - REFORMA ADEQUAÇÃO ÁREA DE PEÇAS</t>
  </si>
  <si>
    <t>SS-154/2026</t>
  </si>
  <si>
    <t>Escaneamento Laser U-0047</t>
  </si>
  <si>
    <t>SS-153/2026</t>
  </si>
  <si>
    <t>IN-5250-23-017 - U-623 - FUROS DE INVESTIGAÇÃO GEOTÉCNICA</t>
  </si>
  <si>
    <t>SS-152/2026</t>
  </si>
  <si>
    <t>U-623 - RELOCAÇÃO TUBULAÇÃO RACE - BENS</t>
  </si>
  <si>
    <t>SS-151/2026</t>
  </si>
  <si>
    <t>Manutenção Civil - Apoio ao PM - Maio/2026</t>
  </si>
  <si>
    <t>SS-150/2026</t>
  </si>
  <si>
    <t>SS-149/2026</t>
  </si>
  <si>
    <t>Monitoramento das Barragens - Maio/2026</t>
  </si>
  <si>
    <t>SS-148/2026</t>
  </si>
  <si>
    <t>Apoio para PROJ - As Built - Maio/2026</t>
  </si>
  <si>
    <t>SS-147/2026</t>
  </si>
  <si>
    <t>Apoio para PROJ - Empreendimento - Maio/2026</t>
  </si>
  <si>
    <t>SS-146/2026</t>
  </si>
  <si>
    <t>Apoio de HS - Civil - Maio/2026</t>
  </si>
  <si>
    <t>SS-145/2026</t>
  </si>
  <si>
    <t>Apoio de HS - Elétrica/Instrumentação -Maio/2026</t>
  </si>
  <si>
    <t>SS-144/2026</t>
  </si>
  <si>
    <t>Apoio de HS - Andaime - Maio/2026</t>
  </si>
  <si>
    <t>SS-143/2026</t>
  </si>
  <si>
    <t>Apoio de HS - Mecânica - Maio/2026</t>
  </si>
  <si>
    <t>SS-142/2026</t>
  </si>
  <si>
    <t>Serviço de Apoio - Movimentação de Carga e Disponibilização de Equipamento - Maio/2026</t>
  </si>
  <si>
    <t>SS-141/2026</t>
  </si>
  <si>
    <t>Manutenção Civil - Rotina - Maio/2026</t>
  </si>
  <si>
    <t>SS-140/2026</t>
  </si>
  <si>
    <t>Infraestrutura e Gestão - Parcela Fixa de Gestão - Maio/2026</t>
  </si>
  <si>
    <t>UN-623 - PONTILHÃO (AVENIDA "D") - MECÂNICA</t>
  </si>
  <si>
    <t>U-623 - RELOCAÇÃO TUBULAÇÃO - CIVIL</t>
  </si>
  <si>
    <t>SS-129/2026</t>
  </si>
  <si>
    <t>ATIVIDADES APOIO A VISITA DO PRESIDENTE</t>
  </si>
  <si>
    <t>SS-127/2026</t>
  </si>
  <si>
    <t>SS-122/2026</t>
  </si>
  <si>
    <t>IN - 5250-25-012 - Melhoria acesso bloco P 27-TQ-01 L e N - Detalhamento - Projeto Elétrica</t>
  </si>
  <si>
    <t>SS-121/2026</t>
  </si>
  <si>
    <t>IN - 5250-25-012 - Melhoria acesso bloco P 27-TQ-01 L e N - Detalhamento - Projeto Civil</t>
  </si>
  <si>
    <t>SS-120/2026</t>
  </si>
  <si>
    <t>IN - 5250-25-012 - Melhoria acesso bloco P 27-TQ-01 L e N - Detalhamento - Projeto Mecânica</t>
  </si>
  <si>
    <t>SS-119/2026</t>
  </si>
  <si>
    <t>IN - 5250-25-011 - Melhoria acesso bloco P 27-TQ-01 K e M - Detalhamento - Projeto Elétrica</t>
  </si>
  <si>
    <t>SS-118/2026</t>
  </si>
  <si>
    <t>IN - 5250-25-011 - Melhoria acesso bloco P 27-TQ-01 K e M - Detalhamento - Projeto Civil</t>
  </si>
  <si>
    <t>SS-117/2026</t>
  </si>
  <si>
    <t>IN - 5250-25-011 - Melhoria acesso bloco P 27-TQ-01 K e M - Detalhamento - Projeto Mecânica</t>
  </si>
  <si>
    <t>SS-116/2026</t>
  </si>
  <si>
    <t>IN - 5250-25-010 - Melhoria acesso bloco K 27-TQ-01C, D e E - Detalhamento - Projeto Elétrica</t>
  </si>
  <si>
    <t>SS-115/2026</t>
  </si>
  <si>
    <t>IN - 5250-25-010 - Melhoria acesso bloco K 27-TQ-01C, D e E - Detalhamento - Projeto Civil</t>
  </si>
  <si>
    <t>SS-114/2026</t>
  </si>
  <si>
    <t>IN - 5250-25-010 - Melhoria acesso bloco K 27-TQ-01C, D e E - Detalhamento - Projeto Mecânica</t>
  </si>
  <si>
    <t>SS-113/2026</t>
  </si>
  <si>
    <t>IN - 5250-24-051 - Melhoria do Acesso aos TQ´s de Escuros 27-TQ-116-A/B/C/D/E/F - Detalhamento - Projeto Elétrica</t>
  </si>
  <si>
    <t>SS-112/2026</t>
  </si>
  <si>
    <t>IN - 5250-24-051 - Melhoria do Acesso aos TQ´s de Escuros 27-TQ-116-A/B/C/D/E/F - Detalhamento - Projeto Civil</t>
  </si>
  <si>
    <t>SS-111/2026</t>
  </si>
  <si>
    <t>IN - 5250-24-051 - Melhoria do Acesso aos TQ´s de Escuros 27-TQ-116-A/B/C/D/E/F - Detalhamento - Projeto Mecânica</t>
  </si>
  <si>
    <t>SS-107/2026</t>
  </si>
  <si>
    <t>SS-105/2026</t>
  </si>
  <si>
    <t>LIMPEZA EXTERNA DO S2</t>
  </si>
  <si>
    <t>SS-104/2026</t>
  </si>
  <si>
    <t>IN-5250-17-007 - FORNECIMENTO MATERIAIS 103-TG-01</t>
  </si>
  <si>
    <t>SS-100/2026</t>
  </si>
  <si>
    <t>PONTO DE VIGILÂNCIA UFV</t>
  </si>
  <si>
    <t>CFTV U-47</t>
  </si>
  <si>
    <t>SS-95/2026</t>
  </si>
  <si>
    <t>ADEQUAÇÃO DO ACESSO AO CAMPO (HELIPONTO) PORTARIA 3</t>
  </si>
  <si>
    <t>SS-94/2026</t>
  </si>
  <si>
    <t>ADEQUAÇÃO DO ASFALTO DA AV. GILSON</t>
  </si>
  <si>
    <t>SS-93/2026</t>
  </si>
  <si>
    <t>ADEQUAÇÃO ESTRUTURA METÁLICA - PLACA UFV</t>
  </si>
  <si>
    <t>SS-92/2026</t>
  </si>
  <si>
    <t>MANUTENÇÃO VIA DE ACESSO PORTARIA 3</t>
  </si>
  <si>
    <t>SS-91/2026</t>
  </si>
  <si>
    <t>ADEQUAÇÃO VENEZIANAS U-206 e U-306</t>
  </si>
  <si>
    <t>IN-5250-23-019 - TOPOGRAFIA - ESTRUTURA PLATAFORMA PERMUTADORES</t>
  </si>
  <si>
    <t>SS-46/2026</t>
  </si>
  <si>
    <t>5250-25-018 - ADEQUAÇÃO PÁTIOS DE ENXOFRE (SONDAGEM)</t>
  </si>
  <si>
    <t>SS-37/2026</t>
  </si>
  <si>
    <t>Desmontagem da U-54 - Fase 2 - Mecânica</t>
  </si>
  <si>
    <t>SS-35/2026</t>
  </si>
  <si>
    <t>Manutenção Civil - Apoio ao PM - Março/2026</t>
  </si>
  <si>
    <t>SS-34/2026</t>
  </si>
  <si>
    <t>Apoio de Equipe de Alpinistas - Março/2026</t>
  </si>
  <si>
    <t>SS-33/2026</t>
  </si>
  <si>
    <t>Monitoramento das Barragens - Março/2026</t>
  </si>
  <si>
    <t>SS-32/2026</t>
  </si>
  <si>
    <t>Apoio para PROJ - As Built - Março/2026</t>
  </si>
  <si>
    <t>SS-31/2026</t>
  </si>
  <si>
    <t>Apoio para PROJ - Empreendimento - Março/2026</t>
  </si>
  <si>
    <t>SS-30/2026</t>
  </si>
  <si>
    <t>Apoio de HS - Civil - Março/2026</t>
  </si>
  <si>
    <t>SS-29/2026</t>
  </si>
  <si>
    <t>Apoio de HS - Elétrica/Instrumentação - Março/2026</t>
  </si>
  <si>
    <t>SS-28/2026</t>
  </si>
  <si>
    <t>Apoio de HS - Andaime - Março/2026</t>
  </si>
  <si>
    <t>SS-27/2026</t>
  </si>
  <si>
    <t>Apoio de HS - Mecânica - Março/2026</t>
  </si>
  <si>
    <t>SS-26/2026</t>
  </si>
  <si>
    <t>Manutenção Civil - Rotina - Março/2026</t>
  </si>
  <si>
    <t>SS-25/2026</t>
  </si>
  <si>
    <t>Serviço de Apoio - Movimentação de Carga e Disponibilização de Equipamento - Março/2026</t>
  </si>
  <si>
    <t>SS-24/2026</t>
  </si>
  <si>
    <t>Infraestrutura e Gestão - Parcela Fixa de Gestão - Março/2026</t>
  </si>
  <si>
    <t>SS-23/2026</t>
  </si>
  <si>
    <t>Manutenção Civil - Apoio ao PM - Fevereiro/2026</t>
  </si>
  <si>
    <t>SS-22/2026</t>
  </si>
  <si>
    <t>Apoio de Equipe de Alpinistas - Fevereiro/2026</t>
  </si>
  <si>
    <t>SS-21/2026</t>
  </si>
  <si>
    <t>Monitoramento das Barragens - Fevereiro/2026</t>
  </si>
  <si>
    <t>SS-20/2026</t>
  </si>
  <si>
    <t>Apoio para PROJ - As Built - Fevereiro/2026</t>
  </si>
  <si>
    <t>SS-19/2026</t>
  </si>
  <si>
    <t>Apoio para PROJ - Empreendimento - Fevereiro/2026</t>
  </si>
  <si>
    <t>SS-18/2026</t>
  </si>
  <si>
    <t>Apoio de HS - Civil - Fevereiro/2026</t>
  </si>
  <si>
    <t>SS-17/2026</t>
  </si>
  <si>
    <t>Apoio de HS - Elétrica/Instrumentação - Fevereiro/2026</t>
  </si>
  <si>
    <t>SS-15/2026</t>
  </si>
  <si>
    <t>Apoio de HS - Andaime - Fevereiro/2026</t>
  </si>
  <si>
    <t>SS-13/2026</t>
  </si>
  <si>
    <t>Apoio de HS - Mecânica - Fevereiro/2026</t>
  </si>
  <si>
    <t>SS-12/2026</t>
  </si>
  <si>
    <t>Manutenção Civil - Rotina - Fevereiro/2026</t>
  </si>
  <si>
    <t>SS-11/2026</t>
  </si>
  <si>
    <t>Serviço de Apoio - Movimentação de Carga e Disponibilização de Equipamento - Fevereiro/2026</t>
  </si>
  <si>
    <t>SS-10/2026</t>
  </si>
  <si>
    <t>Infraestrutura e Gestão - Parcela Fixa de Gestão - Fevereiro/2026</t>
  </si>
  <si>
    <t>IN-5250-23-017 - Sondagem Revamp</t>
  </si>
  <si>
    <t>IN-5250-24-092 - PT-200 - Escavação Manual para Pré Furos e Fundação</t>
  </si>
  <si>
    <t>IN - 5250-25-005 - ETDI - FRENTE 01 - BOMBAS DO PPI - ELÉTRICA - Bens</t>
  </si>
  <si>
    <t>IN-5250-25-015 - ETDI - CONTAMINADA FASE 2 - BENS</t>
  </si>
  <si>
    <t>Rejeitada</t>
  </si>
  <si>
    <t>IN - 5250-25-002 - Melhoria de Acesso TQ96E - Bens</t>
  </si>
  <si>
    <t>IN - 5250-25-003 - Melhoria de Acesso TQ96F - Bens</t>
  </si>
  <si>
    <t>IN - 5250-25-004 - Melhoria de Acesso TQ96G - Bens</t>
  </si>
  <si>
    <t>IN-5250-25-015 - ETDI - CONTAMINADA FASE 2 - CIVIL</t>
  </si>
  <si>
    <t>IN - 5250-25-005 - ETDI - FRENTE 01 - BOMBAS DO PPI - ELÉTRICA</t>
  </si>
  <si>
    <t>IN-5250-20-001 - ETDI - REDE CONTAMINADA</t>
  </si>
  <si>
    <t>IN-5250-25-014 - ETDI - DESARENADOR</t>
  </si>
  <si>
    <t>IN - 5250-25-004 - Melhoria de Acesso TQ96G</t>
  </si>
  <si>
    <t>IN-5250-25-003 - Melhoria de Acesso TQ96F</t>
  </si>
  <si>
    <t>IN-5250-25-002 - Melhoria de Acesso TQ96E</t>
  </si>
  <si>
    <t>Aguardando classif contabil</t>
  </si>
  <si>
    <t>Em andamento</t>
  </si>
  <si>
    <t>Categoria SAMC</t>
  </si>
  <si>
    <t>Tipificação</t>
  </si>
  <si>
    <t>Elétrica e Instrumentação</t>
  </si>
  <si>
    <t>Revenda Materiais</t>
  </si>
  <si>
    <t>Mecânica e Caldeiraria</t>
  </si>
  <si>
    <t>Equipamentos</t>
  </si>
  <si>
    <t>Apoio - HS</t>
  </si>
  <si>
    <t>Elaboração de projeto</t>
  </si>
  <si>
    <t>Barragens</t>
  </si>
  <si>
    <t>Manuteção Civil-Rotina</t>
  </si>
  <si>
    <t>Parcela de gestão</t>
  </si>
  <si>
    <t>RO administrativo</t>
  </si>
  <si>
    <t>Apoio - Alpinistas</t>
  </si>
  <si>
    <t>-</t>
  </si>
  <si>
    <t>Tipo - 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</si>
</sst>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&quot;R$&quot;* #,##0_);_(&quot;R$&quot;* \(#,##0\);_(&quot;R$&quot;* &quot;-&quot;_);_(@_)"/>
    <numFmt numFmtId="165" formatCode="_(&quot;R$&quot;* #,##0.00_);_(&quot;R$&quot;* \(#,##0.00\);_(&quot;R$&quot;* &quot;-&quot;??_);_(@_)"/>
    <numFmt numFmtId="166" formatCode="dd/mm/yy;@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22"/>
      <color theme="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FD7D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thin">
        <color auto="1"/>
      </left>
      <right style="medium">
        <color rgb="FF0070C0"/>
      </right>
      <top style="thin">
        <color auto="1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rgb="FF0070C0"/>
      </left>
      <right/>
      <top style="thin">
        <color indexed="64"/>
      </top>
      <bottom/>
      <diagonal/>
    </border>
    <border>
      <left style="thin">
        <color auto="1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 style="thin">
        <color theme="4" tint="0.39997558519241921"/>
      </left>
      <right/>
      <top style="thick">
        <color theme="4" tint="0.39994506668294322"/>
      </top>
      <bottom style="thick">
        <color theme="4" tint="0.39994506668294322"/>
      </bottom>
      <diagonal/>
    </border>
    <border>
      <left/>
      <right/>
      <top style="thick">
        <color theme="4" tint="0.39994506668294322"/>
      </top>
      <bottom style="thick">
        <color theme="4" tint="0.39994506668294322"/>
      </bottom>
      <diagonal/>
    </border>
    <border>
      <left/>
      <right/>
      <top style="thick">
        <color theme="4" tint="0.399945066682943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  <border>
      <left/>
      <right/>
      <top style="thin">
        <color theme="4" tint="0.39991454817346722"/>
      </top>
      <bottom style="thick">
        <color theme="4" tint="0.39994506668294322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5" fillId="0" borderId="0" xfId="0" applyFont="1" applyAlignment="1">
      <alignment horizontal="center" vertical="center"/>
    </xf>
    <xf numFmtId="165" fontId="5" fillId="0" borderId="0" xfId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64" fontId="0" fillId="3" borderId="0" xfId="1" applyNumberFormat="1" applyFont="1" applyFill="1"/>
    <xf numFmtId="0" fontId="0" fillId="0" borderId="0" xfId="0" pivotButton="1" applyAlignment="1">
      <alignment vertical="center"/>
    </xf>
    <xf numFmtId="0" fontId="0" fillId="0" borderId="0" xfId="0" applyAlignment="1">
      <alignment horizontal="center"/>
    </xf>
    <xf numFmtId="165" fontId="0" fillId="3" borderId="0" xfId="1" applyFont="1" applyFill="1" applyAlignment="1">
      <alignment vertical="center"/>
    </xf>
    <xf numFmtId="164" fontId="0" fillId="3" borderId="0" xfId="1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44" fontId="5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165" fontId="0" fillId="3" borderId="0" xfId="1" applyFont="1" applyFill="1"/>
    <xf numFmtId="44" fontId="5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8" fillId="0" borderId="0" xfId="5"/>
    <xf numFmtId="0" fontId="8" fillId="0" borderId="0" xfId="5" applyAlignment="1">
      <alignment vertical="center"/>
    </xf>
    <xf numFmtId="0" fontId="14" fillId="0" borderId="0" xfId="5" applyFont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14" fontId="8" fillId="6" borderId="4" xfId="0" applyNumberFormat="1" applyFont="1" applyFill="1" applyBorder="1" applyAlignment="1">
      <alignment horizontal="center" vertical="center" textRotation="90" wrapText="1"/>
    </xf>
    <xf numFmtId="0" fontId="13" fillId="7" borderId="7" xfId="5" applyFont="1" applyFill="1" applyBorder="1" applyAlignment="1">
      <alignment vertical="center"/>
    </xf>
    <xf numFmtId="0" fontId="13" fillId="7" borderId="7" xfId="5" applyFont="1" applyFill="1" applyBorder="1"/>
    <xf numFmtId="0" fontId="13" fillId="7" borderId="7" xfId="5" applyFont="1" applyFill="1" applyBorder="1" applyAlignment="1">
      <alignment horizontal="center"/>
    </xf>
    <xf numFmtId="0" fontId="13" fillId="7" borderId="8" xfId="5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8" fillId="3" borderId="12" xfId="5" applyFill="1" applyBorder="1" applyAlignment="1">
      <alignment horizontal="center" vertical="center" wrapText="1"/>
    </xf>
    <xf numFmtId="0" fontId="8" fillId="3" borderId="13" xfId="5" applyFill="1" applyBorder="1" applyAlignment="1">
      <alignment horizontal="center" vertical="center" wrapText="1"/>
    </xf>
    <xf numFmtId="0" fontId="8" fillId="3" borderId="14" xfId="5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5" fillId="7" borderId="0" xfId="0" applyFont="1" applyFill="1" applyAlignment="1">
      <alignment vertical="center" wrapText="1"/>
    </xf>
    <xf numFmtId="3" fontId="16" fillId="7" borderId="0" xfId="0" applyNumberFormat="1" applyFont="1" applyFill="1" applyAlignment="1">
      <alignment horizontal="center" vertical="center"/>
    </xf>
    <xf numFmtId="3" fontId="16" fillId="7" borderId="11" xfId="0" applyNumberFormat="1" applyFont="1" applyFill="1" applyBorder="1" applyAlignment="1">
      <alignment horizontal="center" vertical="center"/>
    </xf>
    <xf numFmtId="0" fontId="17" fillId="0" borderId="0" xfId="5" applyFont="1" applyAlignment="1">
      <alignment vertical="center"/>
    </xf>
    <xf numFmtId="0" fontId="17" fillId="0" borderId="0" xfId="5" applyFont="1" applyAlignment="1">
      <alignment horizontal="center"/>
    </xf>
    <xf numFmtId="0" fontId="8" fillId="3" borderId="6" xfId="5" applyFill="1" applyBorder="1" applyAlignment="1">
      <alignment vertical="center" wrapText="1"/>
    </xf>
    <xf numFmtId="0" fontId="15" fillId="7" borderId="0" xfId="0" applyFont="1" applyFill="1" applyAlignment="1">
      <alignment horizontal="center" vertical="center" wrapText="1"/>
    </xf>
    <xf numFmtId="0" fontId="8" fillId="3" borderId="6" xfId="5" applyFill="1" applyBorder="1" applyAlignment="1">
      <alignment horizontal="center" vertical="center" wrapText="1"/>
    </xf>
    <xf numFmtId="166" fontId="8" fillId="3" borderId="6" xfId="5" applyNumberFormat="1" applyFill="1" applyBorder="1" applyAlignment="1">
      <alignment horizontal="center" vertical="center" wrapText="1"/>
    </xf>
    <xf numFmtId="3" fontId="14" fillId="3" borderId="0" xfId="6" applyNumberFormat="1" applyFont="1" applyFill="1" applyAlignment="1" applyProtection="1">
      <alignment horizontal="center" vertical="center"/>
      <protection locked="0"/>
    </xf>
    <xf numFmtId="3" fontId="14" fillId="3" borderId="11" xfId="6" applyNumberFormat="1" applyFont="1" applyFill="1" applyBorder="1" applyAlignment="1" applyProtection="1">
      <alignment horizontal="center" vertical="center"/>
      <protection locked="0"/>
    </xf>
    <xf numFmtId="0" fontId="8" fillId="3" borderId="15" xfId="5" applyFill="1" applyBorder="1" applyAlignment="1">
      <alignment vertical="center" wrapText="1"/>
    </xf>
    <xf numFmtId="166" fontId="8" fillId="3" borderId="15" xfId="5" applyNumberFormat="1" applyFill="1" applyBorder="1" applyAlignment="1">
      <alignment horizontal="center" vertical="center" wrapText="1"/>
    </xf>
    <xf numFmtId="0" fontId="8" fillId="3" borderId="15" xfId="5" applyFill="1" applyBorder="1" applyAlignment="1">
      <alignment horizontal="center" vertical="center" wrapText="1"/>
    </xf>
    <xf numFmtId="3" fontId="14" fillId="3" borderId="15" xfId="6" applyNumberFormat="1" applyFont="1" applyFill="1" applyBorder="1" applyAlignment="1" applyProtection="1">
      <alignment horizontal="center" vertical="center"/>
      <protection locked="0"/>
    </xf>
    <xf numFmtId="3" fontId="14" fillId="3" borderId="16" xfId="6" applyNumberFormat="1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14" fontId="8" fillId="6" borderId="5" xfId="0" applyNumberFormat="1" applyFont="1" applyFill="1" applyBorder="1" applyAlignment="1">
      <alignment horizontal="center" vertical="center" textRotation="90" wrapText="1"/>
    </xf>
    <xf numFmtId="14" fontId="8" fillId="6" borderId="21" xfId="0" applyNumberFormat="1" applyFont="1" applyFill="1" applyBorder="1" applyAlignment="1">
      <alignment horizontal="center" vertical="center" textRotation="90" wrapText="1"/>
    </xf>
    <xf numFmtId="14" fontId="8" fillId="0" borderId="0" xfId="5" applyNumberFormat="1" applyAlignment="1">
      <alignment vertic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right" vertical="center"/>
    </xf>
    <xf numFmtId="165" fontId="7" fillId="3" borderId="0" xfId="1" applyFont="1" applyFill="1" applyAlignment="1">
      <alignment vertical="center"/>
    </xf>
    <xf numFmtId="0" fontId="7" fillId="10" borderId="0" xfId="0" applyFont="1" applyFill="1" applyAlignment="1">
      <alignment horizontal="right" vertical="center"/>
    </xf>
    <xf numFmtId="0" fontId="7" fillId="10" borderId="0" xfId="0" applyFont="1" applyFill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10" borderId="0" xfId="0" applyFill="1" applyAlignment="1">
      <alignment horizontal="right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0" fillId="3" borderId="25" xfId="0" applyFill="1" applyBorder="1" applyAlignment="1">
      <alignment vertical="center"/>
    </xf>
    <xf numFmtId="165" fontId="0" fillId="3" borderId="25" xfId="1" applyFont="1" applyFill="1" applyBorder="1" applyAlignment="1">
      <alignment vertical="center"/>
    </xf>
    <xf numFmtId="0" fontId="0" fillId="3" borderId="26" xfId="0" applyFill="1" applyBorder="1" applyAlignment="1">
      <alignment vertical="center"/>
    </xf>
    <xf numFmtId="165" fontId="0" fillId="3" borderId="26" xfId="1" applyFont="1" applyFill="1" applyBorder="1" applyAlignment="1">
      <alignment vertical="center"/>
    </xf>
    <xf numFmtId="165" fontId="18" fillId="2" borderId="24" xfId="0" applyNumberFormat="1" applyFont="1" applyFill="1" applyBorder="1" applyAlignment="1">
      <alignment horizontal="center" vertical="center"/>
    </xf>
    <xf numFmtId="165" fontId="4" fillId="3" borderId="0" xfId="1" applyFont="1" applyFill="1" applyAlignment="1">
      <alignment horizontal="center" vertical="center"/>
    </xf>
    <xf numFmtId="165" fontId="4" fillId="3" borderId="0" xfId="1" applyFont="1" applyFill="1" applyAlignment="1">
      <alignment vertical="center"/>
    </xf>
    <xf numFmtId="0" fontId="0" fillId="3" borderId="0" xfId="0" applyFill="1" applyAlignment="1">
      <alignment horizontal="center"/>
    </xf>
    <xf numFmtId="165" fontId="0" fillId="3" borderId="25" xfId="1" applyFont="1" applyFill="1" applyBorder="1" applyAlignment="1">
      <alignment horizontal="center" vertical="center"/>
    </xf>
    <xf numFmtId="165" fontId="0" fillId="3" borderId="26" xfId="1" applyFont="1" applyFill="1" applyBorder="1" applyAlignment="1">
      <alignment horizontal="center" vertical="center"/>
    </xf>
    <xf numFmtId="9" fontId="0" fillId="3" borderId="25" xfId="2" applyFont="1" applyFill="1" applyBorder="1" applyAlignment="1">
      <alignment horizontal="center" vertical="center"/>
    </xf>
    <xf numFmtId="0" fontId="0" fillId="10" borderId="25" xfId="0" applyFill="1" applyBorder="1" applyAlignment="1">
      <alignment horizontal="right" vertical="center"/>
    </xf>
    <xf numFmtId="0" fontId="0" fillId="10" borderId="26" xfId="0" applyFill="1" applyBorder="1" applyAlignment="1">
      <alignment horizontal="right" vertical="center"/>
    </xf>
    <xf numFmtId="9" fontId="0" fillId="3" borderId="26" xfId="2" applyFont="1" applyFill="1" applyBorder="1" applyAlignment="1">
      <alignment horizontal="center" vertical="center"/>
    </xf>
    <xf numFmtId="0" fontId="0" fillId="10" borderId="27" xfId="0" applyFill="1" applyBorder="1" applyAlignment="1">
      <alignment horizontal="right" vertical="center"/>
    </xf>
    <xf numFmtId="0" fontId="0" fillId="3" borderId="27" xfId="0" applyFill="1" applyBorder="1" applyAlignment="1">
      <alignment vertical="center"/>
    </xf>
    <xf numFmtId="165" fontId="0" fillId="3" borderId="27" xfId="1" applyFont="1" applyFill="1" applyBorder="1" applyAlignment="1">
      <alignment vertical="center"/>
    </xf>
    <xf numFmtId="165" fontId="0" fillId="3" borderId="27" xfId="1" applyFont="1" applyFill="1" applyBorder="1" applyAlignment="1">
      <alignment horizontal="center" vertical="center"/>
    </xf>
    <xf numFmtId="9" fontId="0" fillId="3" borderId="27" xfId="2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165" fontId="7" fillId="10" borderId="0" xfId="1" applyFont="1" applyFill="1" applyAlignment="1">
      <alignment horizontal="right" vertical="center"/>
    </xf>
    <xf numFmtId="0" fontId="7" fillId="10" borderId="0" xfId="0" applyFont="1" applyFill="1" applyAlignment="1">
      <alignment horizontal="right"/>
    </xf>
    <xf numFmtId="165" fontId="0" fillId="10" borderId="0" xfId="0" applyNumberFormat="1" applyFill="1" applyAlignment="1">
      <alignment vertical="center"/>
    </xf>
    <xf numFmtId="165" fontId="19" fillId="3" borderId="26" xfId="1" applyFont="1" applyFill="1" applyBorder="1" applyAlignment="1">
      <alignment horizontal="center" vertical="center"/>
    </xf>
    <xf numFmtId="165" fontId="1" fillId="3" borderId="0" xfId="1" applyFont="1" applyFill="1" applyBorder="1" applyAlignment="1">
      <alignment vertical="center"/>
    </xf>
    <xf numFmtId="44" fontId="7" fillId="10" borderId="0" xfId="0" applyNumberFormat="1" applyFont="1" applyFill="1" applyAlignment="1">
      <alignment horizontal="center" vertical="center"/>
    </xf>
    <xf numFmtId="44" fontId="0" fillId="3" borderId="0" xfId="0" applyNumberFormat="1" applyFill="1" applyAlignment="1">
      <alignment vertical="center"/>
    </xf>
    <xf numFmtId="0" fontId="0" fillId="9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0" borderId="0" xfId="0" applyAlignment="1">
      <alignment horizontal="left" indent="1"/>
    </xf>
    <xf numFmtId="0" fontId="20" fillId="3" borderId="0" xfId="0" applyFont="1" applyFill="1"/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8" fillId="3" borderId="17" xfId="5" applyFill="1" applyBorder="1" applyAlignment="1">
      <alignment horizontal="center" vertical="center" wrapText="1"/>
    </xf>
    <xf numFmtId="0" fontId="8" fillId="3" borderId="18" xfId="5" applyFill="1" applyBorder="1" applyAlignment="1">
      <alignment vertical="center" wrapText="1"/>
    </xf>
    <xf numFmtId="0" fontId="8" fillId="3" borderId="18" xfId="5" applyFill="1" applyBorder="1" applyAlignment="1">
      <alignment horizontal="center" vertical="center" wrapText="1"/>
    </xf>
    <xf numFmtId="0" fontId="8" fillId="3" borderId="0" xfId="5" applyFill="1" applyAlignment="1">
      <alignment horizontal="center" vertical="center" wrapText="1"/>
    </xf>
    <xf numFmtId="166" fontId="8" fillId="3" borderId="18" xfId="5" applyNumberFormat="1" applyFill="1" applyBorder="1" applyAlignment="1">
      <alignment horizontal="center" vertical="center" wrapText="1"/>
    </xf>
    <xf numFmtId="166" fontId="8" fillId="3" borderId="0" xfId="5" applyNumberFormat="1" applyFill="1" applyAlignment="1">
      <alignment horizontal="center" vertical="center" wrapText="1"/>
    </xf>
    <xf numFmtId="3" fontId="14" fillId="3" borderId="18" xfId="6" applyNumberFormat="1" applyFont="1" applyFill="1" applyBorder="1" applyAlignment="1" applyProtection="1">
      <alignment horizontal="center" vertical="center"/>
      <protection locked="0"/>
    </xf>
    <xf numFmtId="3" fontId="14" fillId="3" borderId="19" xfId="6" applyNumberFormat="1" applyFont="1" applyFill="1" applyBorder="1" applyAlignment="1" applyProtection="1">
      <alignment horizontal="center" vertical="center"/>
      <protection locked="0"/>
    </xf>
    <xf numFmtId="0" fontId="7" fillId="11" borderId="0" xfId="0" applyFont="1" applyFill="1"/>
    <xf numFmtId="0" fontId="7" fillId="11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5" fontId="11" fillId="10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2" fillId="7" borderId="22" xfId="5" applyFont="1" applyFill="1" applyBorder="1" applyAlignment="1">
      <alignment horizontal="center" vertical="center"/>
    </xf>
    <xf numFmtId="0" fontId="12" fillId="7" borderId="7" xfId="5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</cellXfs>
  <cellStyles count="11">
    <cellStyle name="Cancel 2" xfId="4" xr:uid="{9295335E-233E-4254-ABFF-D6B27A9BD181}"/>
    <cellStyle name="Moeda" xfId="1" builtinId="4"/>
    <cellStyle name="Moeda 2" xfId="8" xr:uid="{1A83C137-B7BB-4B78-8270-D95FA782D5E7}"/>
    <cellStyle name="Moeda 3" xfId="10" xr:uid="{D56AE71E-DF21-4FF2-B961-BC38A4C4A42D}"/>
    <cellStyle name="Normal" xfId="0" builtinId="0"/>
    <cellStyle name="Normal 2" xfId="5" xr:uid="{8C65A7B7-B315-412A-B6A3-F5270FAE68AC}"/>
    <cellStyle name="Normal 2 2" xfId="6" xr:uid="{2C323394-8E21-4947-9C96-861B96F927E8}"/>
    <cellStyle name="Normal 6" xfId="3" xr:uid="{7C3FE1CB-6CBD-4299-86E8-1A55A0017330}"/>
    <cellStyle name="Percentagem 2" xfId="7" xr:uid="{FB9D4B76-E710-456D-9B88-BEE3D3B54CE8}"/>
    <cellStyle name="Porcentagem" xfId="2" builtinId="5"/>
    <cellStyle name="Porcentagem 2" xfId="9" xr:uid="{4BC00146-CA1C-40D4-B210-E08CBDDA5311}"/>
  </cellStyles>
  <dxfs count="76">
    <dxf>
      <font>
        <b/>
        <i val="0"/>
        <color theme="3" tint="0.24994659260841701"/>
      </font>
      <fill>
        <patternFill>
          <bgColor theme="3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theme="3" tint="0.24994659260841701"/>
      </font>
      <fill>
        <patternFill patternType="darkGrid">
          <fgColor theme="3" tint="0.499984740745262"/>
          <bgColor theme="3" tint="0.24994659260841701"/>
        </patternFill>
      </fill>
      <border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3" tint="0.24994659260841701"/>
      </font>
      <fill>
        <patternFill>
          <bgColor theme="3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rgb="FFFF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rgb="FFFF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C00000"/>
      </font>
      <fill>
        <patternFill>
          <bgColor rgb="FFFF7C8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color auto="1"/>
      </font>
      <fill>
        <patternFill>
          <bgColor theme="3" tint="0.74996185186315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theme="3" tint="0.24994659260841701"/>
      </font>
      <fill>
        <patternFill>
          <bgColor theme="3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</font>
      <fill>
        <patternFill>
          <bgColor theme="2" tint="-9.9948118533890809E-2"/>
        </patternFill>
      </fill>
    </dxf>
    <dxf>
      <font>
        <color theme="3" tint="0.24994659260841701"/>
      </font>
      <fill>
        <patternFill patternType="darkGrid">
          <fgColor theme="3" tint="0.499984740745262"/>
          <bgColor theme="3" tint="0.24994659260841701"/>
        </patternFill>
      </fill>
      <border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</font>
      <fill>
        <patternFill>
          <bgColor theme="2" tint="-9.9948118533890809E-2"/>
        </patternFill>
      </fill>
    </dxf>
    <dxf>
      <font>
        <b/>
        <i val="0"/>
        <color theme="3" tint="0.24994659260841701"/>
      </font>
      <fill>
        <patternFill>
          <bgColor theme="3" tint="0.2499465926084170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theme="9" tint="0.399945066682943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rgb="FFFF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auto="1"/>
      </font>
      <fill>
        <patternFill>
          <bgColor rgb="FFFF993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color rgb="FFC00000"/>
      </font>
      <fill>
        <patternFill>
          <bgColor rgb="FFFF7C8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color auto="1"/>
      </font>
      <fill>
        <patternFill>
          <bgColor theme="3" tint="0.74996185186315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(&quot;R$&quot;* #,##0.00_);_(&quot;R$&quot;* \(#,##0.00\);_(&quot;R$&quot;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165" formatCode="_(&quot;R$&quot;* #,##0.00_);_(&quot;R$&quot;* \(#,##0.00\);_(&quot;R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(&quot;R$&quot;* #,##0.00_);_(&quot;R$&quot;* \(#,##0.00\);_(&quot;R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(&quot;R$&quot;* #,##0.00_);_(&quot;R$&quot;* \(#,##0.00\);_(&quot;R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_(&quot;R$&quot;* #,##0.00_);_(&quot;R$&quot;* \(#,##0.00\);_(&quot;R$&quot;* &quot;-&quot;??_);_(@_)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numFmt numFmtId="165" formatCode="_(&quot;R$&quot;* #,##0.00_);_(&quot;R$&quot;* \(#,##0.00\);_(&quot;R$&quot;* &quot;-&quot;??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alignment horizont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7C80"/>
        </patternFill>
      </fill>
    </dxf>
    <dxf>
      <fill>
        <patternFill patternType="solid">
          <bgColor rgb="FFFF7C80"/>
        </patternFill>
      </fill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vertical="center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</dxfs>
  <tableStyles count="0" defaultTableStyle="TableStyleMedium2" defaultPivotStyle="PivotStyleLight16"/>
  <colors>
    <mruColors>
      <color rgb="FFCFD7DF"/>
      <color rgb="FF5799DB"/>
      <color rgb="FFFF7C80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 GESTÃO SAMC - 15.xlsx]Resumo Orçamento!Tabela dinâmica10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numFmt formatCode="_(&quot;R$&quot;* #,##0_);_(&quot;R$&quot;* \(#,##0\);_(&quot;R$&quot;* &quot;-&quot;_);_(@_)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numFmt formatCode="_(&quot;R$&quot;* #,##0_);_(&quot;R$&quot;* \(#,##0\);_(&quot;R$&quot;* &quot;-&quot;_);_(@_)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numFmt formatCode="_(&quot;R$&quot;* #,##0_);_(&quot;R$&quot;* \(#,##0\);_(&quot;R$&quot;* &quot;-&quot;_);_(@_)" sourceLinked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'Resumo Orçamento'!$B$27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A2C-4750-A486-FDA00052B6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A2C-4750-A486-FDA00052B657}"/>
              </c:ext>
            </c:extLst>
          </c:dPt>
          <c:dLbls>
            <c:numFmt formatCode="_(&quot;R$&quot;* #,##0_);_(&quot;R$&quot;* \(#,##0\);_(&quot;R$&quot;* &quot;-&quot;_);_(@_)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'Resumo Orçamento'!$A$28:$A$30</c:f>
              <c:strCache>
                <c:ptCount val="2"/>
                <c:pt idx="0">
                  <c:v>GOG</c:v>
                </c:pt>
                <c:pt idx="1">
                  <c:v>IN</c:v>
                </c:pt>
              </c:strCache>
            </c:strRef>
          </c:cat>
          <c:val>
            <c:numRef>
              <c:f>'Resumo Orçamento'!$B$28:$B$30</c:f>
              <c:numCache>
                <c:formatCode>_("R$"* #,##0.00_);_("R$"* \(#,##0.00\);_("R$"* "-"??_);_(@_)</c:formatCode>
                <c:ptCount val="2"/>
                <c:pt idx="0">
                  <c:v>13901736.072888006</c:v>
                </c:pt>
                <c:pt idx="1">
                  <c:v>34288937.62795715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5-442C-9C05-FC77383EAFA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4662073490813662E-2"/>
          <c:y val="0.8616892680081657"/>
          <c:w val="0.2347823709536308"/>
          <c:h val="0.1145844269466316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Dashboards!$C$26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Dashboards!$B$27:$B$29</c:f>
              <c:strCache>
                <c:ptCount val="3"/>
                <c:pt idx="0">
                  <c:v> SERVIÇOS </c:v>
                </c:pt>
                <c:pt idx="1">
                  <c:v>MATERIAIS</c:v>
                </c:pt>
                <c:pt idx="2">
                  <c:v>TOTAL</c:v>
                </c:pt>
              </c:strCache>
            </c:strRef>
          </c:cat>
          <c:val>
            <c:numRef>
              <c:f>Dashboards!$C$27:$C$29</c:f>
              <c:numCache>
                <c:formatCode>_("R$"* #,##0.00_);_("R$"* \(#,##0.00\);_("R$"* "-"??_);_(@_)</c:formatCode>
                <c:ptCount val="3"/>
                <c:pt idx="0">
                  <c:v>60367791.64888107</c:v>
                </c:pt>
                <c:pt idx="1">
                  <c:v>3581596.8952000001</c:v>
                </c:pt>
                <c:pt idx="2">
                  <c:v>63949388.54408107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4-403E-9EE8-3D528B3C48CB}"/>
            </c:ext>
          </c:extLst>
        </c:ser>
        <c:ser>
          <c:idx val="1"/>
          <c:order val="1"/>
          <c:tx>
            <c:strRef>
              <c:f>Dashboards!$D$26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_(&quot;R$&quot;* #,##0_);_(&quot;R$&quot;* \(#,##0\);_(&quot;R$&quot;* &quot;-&quot;_);_(@_)" sourceLinked="0"/>
            <c:spPr>
              <a:solidFill>
                <a:schemeClr val="bg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Dashboards!$B$27:$B$29</c:f>
              <c:strCache>
                <c:ptCount val="3"/>
                <c:pt idx="0">
                  <c:v> SERVIÇOS </c:v>
                </c:pt>
                <c:pt idx="1">
                  <c:v>MATERIAIS</c:v>
                </c:pt>
                <c:pt idx="2">
                  <c:v>TOTAL</c:v>
                </c:pt>
              </c:strCache>
            </c:strRef>
          </c:cat>
          <c:val>
            <c:numRef>
              <c:f>Dashboards!$D$27:$D$29</c:f>
              <c:numCache>
                <c:formatCode>_("R$"* #,##0.00_);_("R$"* \(#,##0.00\);_("R$"* "-"??_);_(@_)</c:formatCode>
                <c:ptCount val="3"/>
                <c:pt idx="0">
                  <c:v>19606010.591442674</c:v>
                </c:pt>
                <c:pt idx="1">
                  <c:v>394684.52</c:v>
                </c:pt>
                <c:pt idx="2">
                  <c:v>20000695.111442674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C4-403E-9EE8-3D528B3C4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738832"/>
        <c:axId val="2062747952"/>
      </c:barChart>
      <c:catAx>
        <c:axId val="206273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747952"/>
        <c:crosses val="autoZero"/>
        <c:auto val="1"/>
        <c:lblAlgn val="ctr"/>
        <c:lblOffset val="100"/>
        <c:noMultiLvlLbl val="0"/>
      </c:catAx>
      <c:valAx>
        <c:axId val="20627479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73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plotArea>
      <cx:plotAreaRegion>
        <cx:series layoutId="waterfall" uniqueId="{C5649991-9E89-4668-962B-3C0BDE8496BF}" formatIdx="0">
          <cx:spPr>
            <a:solidFill>
              <a:srgbClr val="5799DB"/>
            </a:solidFill>
          </cx:spPr>
          <cx:dataPt idx="3">
            <cx:spPr>
              <a:solidFill>
                <a:srgbClr val="FF0000"/>
              </a:solidFill>
            </cx:spPr>
          </cx:dataPt>
          <cx:dataPt idx="4">
            <cx:spPr>
              <a:solidFill>
                <a:srgbClr val="C00000"/>
              </a:solidFill>
            </cx:spPr>
          </cx:dataPt>
          <cx:dataLabels pos="outEnd">
            <cx:spPr>
              <a:solidFill>
                <a:schemeClr val="bg2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200" b="1">
                    <a:solidFill>
                      <a:schemeClr val="tx2"/>
                    </a:solidFill>
                  </a:defRPr>
                </a:pPr>
                <a:endParaRPr lang="pt-BR" sz="1200" b="1" i="0" u="none" strike="noStrike" baseline="0">
                  <a:solidFill>
                    <a:schemeClr val="tx2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800" b="1">
                <a:solidFill>
                  <a:sysClr val="windowText" lastClr="000000"/>
                </a:solidFill>
              </a:defRPr>
            </a:pPr>
            <a:endParaRPr lang="pt-BR" sz="800" b="1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  <cx:axis id="1">
        <cx:valScaling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</a:defRPr>
            </a:pPr>
            <a:endParaRPr lang="pt-BR" sz="10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  <cx:data id="1">
      <cx:strDim type="cat">
        <cx:f>_xlchart.v1.2</cx:f>
      </cx:strDim>
      <cx:numDim type="val">
        <cx:f>_xlchart.v1.6</cx:f>
      </cx:numDim>
    </cx:data>
    <cx:data id="2">
      <cx:strDim type="cat">
        <cx:f>_xlchart.v1.2</cx:f>
      </cx:strDim>
      <cx:numDim type="val">
        <cx:f>_xlchart.v1.8</cx:f>
      </cx:numDim>
    </cx:data>
  </cx:chartData>
  <cx:chart>
    <cx:plotArea>
      <cx:plotAreaRegion>
        <cx:series layoutId="clusteredColumn" uniqueId="{0BF18E66-DD11-4D4F-A7A8-7E959531CB64}" formatIdx="0">
          <cx:tx>
            <cx:txData>
              <cx:f>_xlchart.v1.3</cx:f>
              <cx:v>Saldo (R$)</cx:v>
            </cx:txData>
          </cx:tx>
          <cx:dataLabels pos="inEnd">
            <cx:numFmt formatCode="_-R$ * #.##0_-;-R$ * #.##0_-;_-R$ * &quot;-&quot;_-;_-@_-" sourceLinked="0"/>
            <cx:spPr>
              <a:solidFill>
                <a:srgbClr val="FFFF66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 b="1"/>
                </a:pPr>
                <a:endParaRPr lang="pt-BR" sz="1000" b="1" i="0" u="none" strike="noStrike" baseline="0">
                  <a:solidFill>
                    <a:sysClr val="windowText" lastClr="000000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aggregation/>
          </cx:layoutPr>
          <cx:axisId val="1"/>
        </cx:series>
        <cx:series layoutId="paretoLine" ownerIdx="0" uniqueId="{CF9D88CC-32B5-40CC-9ABB-D019677005FD}" formatIdx="1">
          <cx:axisId val="2"/>
        </cx:series>
        <cx:series layoutId="clusteredColumn" hidden="1" uniqueId="{84870D29-E05D-484D-B51C-392A8BAA9FBF}" formatIdx="2">
          <cx:tx>
            <cx:txData>
              <cx:f>_xlchart.v1.5</cx:f>
              <cx:v>Acum</cx:v>
            </cx:txData>
          </cx:tx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paretoLine" ownerIdx="2" uniqueId="{DAB8C7D4-9F6B-417F-8F88-B3191F70CE64}" formatIdx="3">
          <cx:axisId val="2"/>
        </cx:series>
        <cx:series layoutId="clusteredColumn" hidden="1" uniqueId="{53F04F82-9FFF-4639-B832-22419BA8D296}" formatIdx="4">
          <cx:tx>
            <cx:txData>
              <cx:f>_xlchart.v1.7</cx:f>
              <cx:v>%</cx:v>
            </cx:txData>
          </cx:tx>
          <cx:dataLabels pos="inEnd">
            <cx:visibility seriesName="0" categoryName="0" value="1"/>
          </cx:dataLabels>
          <cx:dataId val="2"/>
          <cx:layoutPr>
            <cx:aggregation/>
          </cx:layoutPr>
          <cx:axisId val="1"/>
        </cx:series>
        <cx:series layoutId="paretoLine" ownerIdx="4" uniqueId="{E0152DF3-E6E5-4409-B1D0-C6DC19A2B97D}" formatIdx="5">
          <cx:axisId val="2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</a:defRPr>
            </a:pPr>
            <a:endParaRPr lang="pt-BR" sz="1000" b="0" i="0" u="none" strike="noStrike" baseline="0">
              <a:solidFill>
                <a:sysClr val="windowText" lastClr="000000"/>
              </a:solidFill>
              <a:latin typeface="Aptos Narrow" panose="02110004020202020204"/>
            </a:endParaRPr>
          </a:p>
        </cx:txPr>
      </cx:axis>
      <cx:axis id="1" hidden="1">
        <cx:valScaling/>
        <cx:tickLabels/>
      </cx:axis>
      <cx:axis id="2">
        <cx:valScaling max="1" min="0"/>
        <cx:units unit="percentage"/>
        <cx:tickLabels/>
      </cx:axis>
    </cx:plotArea>
  </cx:chart>
  <cx:spPr>
    <a:solidFill>
      <a:schemeClr val="bg1"/>
    </a:solidFill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298451</xdr:colOff>
      <xdr:row>0</xdr:row>
      <xdr:rowOff>25400</xdr:rowOff>
    </xdr:from>
    <xdr:to>
      <xdr:col>0</xdr:col>
      <xdr:colOff>1041401</xdr:colOff>
      <xdr:row>1</xdr:row>
      <xdr:rowOff>105201</xdr:rowOff>
    </xdr:to>
    <xdr:pic>
      <xdr:nvPicPr>
        <xdr:cNvPr id="3" name="Google Shape;113;p22" title="c3_AZUL.png">
          <a:extLst>
            <a:ext uri="{FF2B5EF4-FFF2-40B4-BE49-F238E27FC236}">
              <a16:creationId xmlns:a16="http://schemas.microsoft.com/office/drawing/2014/main" id="{12BD758E-0D10-7E24-D721-AAFD809691D3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298451" y="25400"/>
          <a:ext cx="749300" cy="4354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69850</xdr:colOff>
      <xdr:row>25</xdr:row>
      <xdr:rowOff>19050</xdr:rowOff>
    </xdr:from>
    <xdr:to>
      <xdr:col>6</xdr:col>
      <xdr:colOff>254000</xdr:colOff>
      <xdr:row>39</xdr:row>
      <xdr:rowOff>146050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81EA082-B636-F824-2F2A-2BB133F77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171451</xdr:colOff>
      <xdr:row>0</xdr:row>
      <xdr:rowOff>25401</xdr:rowOff>
    </xdr:from>
    <xdr:to>
      <xdr:col>0</xdr:col>
      <xdr:colOff>920751</xdr:colOff>
      <xdr:row>1</xdr:row>
      <xdr:rowOff>139701</xdr:rowOff>
    </xdr:to>
    <xdr:pic>
      <xdr:nvPicPr>
        <xdr:cNvPr id="2" name="Google Shape;113;p22" title="c3_AZUL.png">
          <a:extLst>
            <a:ext uri="{FF2B5EF4-FFF2-40B4-BE49-F238E27FC236}">
              <a16:creationId xmlns:a16="http://schemas.microsoft.com/office/drawing/2014/main" id="{73DD4179-A05C-42D8-AC43-91E5BC27A228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71451" y="25401"/>
          <a:ext cx="749300" cy="4762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209177</xdr:colOff>
      <xdr:row>2</xdr:row>
      <xdr:rowOff>40341</xdr:rowOff>
    </xdr:from>
    <xdr:to>
      <xdr:col>23</xdr:col>
      <xdr:colOff>156883</xdr:colOff>
      <xdr:row>21</xdr:row>
      <xdr:rowOff>67236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69DA1376-1CFF-733B-E987-93D886F1C6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33952" y="583266"/>
              <a:ext cx="11285631" cy="34622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190499</xdr:colOff>
      <xdr:row>1</xdr:row>
      <xdr:rowOff>99786</xdr:rowOff>
    </xdr:from>
    <xdr:to>
      <xdr:col>2</xdr:col>
      <xdr:colOff>825953</xdr:colOff>
      <xdr:row>2</xdr:row>
      <xdr:rowOff>674461</xdr:rowOff>
    </xdr:to>
    <xdr:pic>
      <xdr:nvPicPr>
        <xdr:cNvPr id="2" name="Google Shape;113;p22" title="c3_AZUL.png">
          <a:extLst>
            <a:ext uri="{FF2B5EF4-FFF2-40B4-BE49-F238E27FC236}">
              <a16:creationId xmlns:a16="http://schemas.microsoft.com/office/drawing/2014/main" id="{D9E6EDDB-E642-48E8-9244-625D9A47F614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290285" y="426357"/>
          <a:ext cx="1512207" cy="80463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217713</xdr:colOff>
      <xdr:row>1</xdr:row>
      <xdr:rowOff>99786</xdr:rowOff>
    </xdr:from>
    <xdr:to>
      <xdr:col>2</xdr:col>
      <xdr:colOff>849992</xdr:colOff>
      <xdr:row>2</xdr:row>
      <xdr:rowOff>677636</xdr:rowOff>
    </xdr:to>
    <xdr:pic>
      <xdr:nvPicPr>
        <xdr:cNvPr id="2" name="Google Shape;113;p22" title="c3_AZUL.png">
          <a:extLst>
            <a:ext uri="{FF2B5EF4-FFF2-40B4-BE49-F238E27FC236}">
              <a16:creationId xmlns:a16="http://schemas.microsoft.com/office/drawing/2014/main" id="{834915BF-E8DF-4202-AFAC-8524692FCA1F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319313" y="423636"/>
          <a:ext cx="1514929" cy="806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145141</xdr:colOff>
      <xdr:row>1</xdr:row>
      <xdr:rowOff>226785</xdr:rowOff>
    </xdr:from>
    <xdr:to>
      <xdr:col>2</xdr:col>
      <xdr:colOff>894441</xdr:colOff>
      <xdr:row>2</xdr:row>
      <xdr:rowOff>45329</xdr:rowOff>
    </xdr:to>
    <xdr:pic>
      <xdr:nvPicPr>
        <xdr:cNvPr id="2" name="Google Shape;113;p22" title="c3_AZUL.png">
          <a:extLst>
            <a:ext uri="{FF2B5EF4-FFF2-40B4-BE49-F238E27FC236}">
              <a16:creationId xmlns:a16="http://schemas.microsoft.com/office/drawing/2014/main" id="{40092FB2-5DD4-4D99-8566-94682E0E94A0}"/>
            </a:ext>
          </a:extLst>
        </xdr:cNvPr>
        <xdr:cNvPicPr preferRelativeResize="0"/>
      </xdr:nvPicPr>
      <xdr:blipFill>
        <a:blip xmlns:r="http://schemas.openxmlformats.org/officeDocument/2006/relationships" r:embed="rId1">
          <a:alphaModFix/>
        </a:blip>
        <a:stretch>
          <a:fillRect/>
        </a:stretch>
      </xdr:blipFill>
      <xdr:spPr>
        <a:xfrm>
          <a:off x="1533070" y="281214"/>
          <a:ext cx="749300" cy="43540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403678</xdr:colOff>
      <xdr:row>23</xdr:row>
      <xdr:rowOff>11791</xdr:rowOff>
    </xdr:from>
    <xdr:to>
      <xdr:col>8</xdr:col>
      <xdr:colOff>3664857</xdr:colOff>
      <xdr:row>38</xdr:row>
      <xdr:rowOff>181427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D0A32D-4812-B3BA-491F-A39B29F97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294820</xdr:colOff>
      <xdr:row>39</xdr:row>
      <xdr:rowOff>129720</xdr:rowOff>
    </xdr:from>
    <xdr:to>
      <xdr:col>8</xdr:col>
      <xdr:colOff>3728356</xdr:colOff>
      <xdr:row>54</xdr:row>
      <xdr:rowOff>263072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CFA287CB-4543-F2A8-6501-8F017A774E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995" y="10880270"/>
              <a:ext cx="11209111" cy="427672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ontrole%20de%20SS%202026_05%20Mai_REV1.xlsx" TargetMode="External"/><Relationship Id="rId2" Type="http://schemas.openxmlformats.org/officeDocument/2006/relationships/externalLinkPath" Target="https://petrobrasbr-my.sharepoint.com/personal/fabianasiqueira_prestserv_petrobras_com_br/Documents/&#193;rea%20de%20Trabalho/Controle%20de%20SS%202026_05%20Mai_REV1.xlsx" TargetMode="External"/><Relationship Id="rId1" Type="http://schemas.openxmlformats.org/officeDocument/2006/relationships/externalLinkPath" Target="/personal/fabianasiqueira_prestserv_petrobras_com_br/Documents/&#193;rea%20de%20Trabalho/Controle%20de%20SS%202026_05%20Mai_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nexo 2A - Resumo de Serviços"/>
      <sheetName val="Anexo 2C - Resumo de Bens"/>
      <sheetName val="Anexo 2B - PPU Serviços"/>
      <sheetName val="Anexo 2D - PPU Bens"/>
      <sheetName val="Medição por SS"/>
      <sheetName val="Planilha1"/>
      <sheetName val="Data Book _Resumo"/>
      <sheetName val="Data Book _Medição Serviços"/>
      <sheetName val="Data Book_Resumo por item"/>
      <sheetName val="Compilado Mediçoes"/>
      <sheetName val="Medição - 11 - Jan 26"/>
      <sheetName val="Medição - 12 - Fev 26"/>
      <sheetName val="Medição - 13 - Mar 26"/>
      <sheetName val="Medição - 14 Abr 26"/>
      <sheetName val="Medição - 15 - Mai 26"/>
      <sheetName val="Medição 01 - Mar 25"/>
      <sheetName val="Medição 02 - Abr 25"/>
      <sheetName val="Medição 03 - Mai 25"/>
      <sheetName val="Medição - 04 - Jun 25"/>
      <sheetName val="Medição - 05 - Jul 25"/>
      <sheetName val="Medição - 06 - Ago 25"/>
      <sheetName val="Medição - 07 - Set 25"/>
      <sheetName val="Medição - 08 -Out 25"/>
      <sheetName val="Medição - 09 - Nov 25"/>
      <sheetName val="Medição - 10 - Dez 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 Siqueira Pereira - PrestServ" refreshedDate="46117.623023263892" createdVersion="8" refreshedVersion="8" minRefreshableVersion="3" recordCount="121" xr:uid="{E94FE909-D78D-4466-9A71-2D732B16E1BD}">
  <cacheSource type="worksheet">
    <worksheetSource ref="A1:K197" sheet="Base dados"/>
  </cacheSource>
  <cacheFields count="13">
    <cacheField name="Número" numFmtId="0">
      <sharedItems/>
    </cacheField>
    <cacheField name="Título" numFmtId="0">
      <sharedItems/>
    </cacheField>
    <cacheField name="IN-GOG" numFmtId="0">
      <sharedItems/>
    </cacheField>
    <cacheField name="Status Real" numFmtId="0">
      <sharedItems count="8">
        <s v="Em Revisão"/>
        <s v="Em Andamento"/>
        <s v="Aguardando Planejamento"/>
        <s v="Aguardando Aprovação da Revisão"/>
        <s v="Reprovado pelo responsável"/>
        <s v="Encaminhado p/ o fornecedor"/>
        <s v="Aguardando Class Contabil"/>
        <s v="Aguardando Aprovação"/>
      </sharedItems>
    </cacheField>
    <cacheField name="Valor Global" numFmtId="165">
      <sharedItems containsSemiMixedTypes="0" containsString="0" containsNumber="1" minValue="0" maxValue="7296261.8732782379"/>
    </cacheField>
    <cacheField name="Faturado Acumulado" numFmtId="0">
      <sharedItems containsSemiMixedTypes="0" containsString="0" containsNumber="1" minValue="0" maxValue="4060584.5485677347"/>
    </cacheField>
    <cacheField name="Valor Saldo" numFmtId="165">
      <sharedItems containsSemiMixedTypes="0" containsString="0" containsNumber="1" minValue="0" maxValue="7296261.8732782379"/>
    </cacheField>
    <cacheField name="Disciplina" numFmtId="0">
      <sharedItems/>
    </cacheField>
    <cacheField name="Local de Execução de Serviço" numFmtId="0">
      <sharedItems/>
    </cacheField>
    <cacheField name="Início BL" numFmtId="14">
      <sharedItems containsDate="1" containsMixedTypes="1" minDate="2025-05-14T00:00:00" maxDate="2026-08-04T00:00:00"/>
    </cacheField>
    <cacheField name="Término BL" numFmtId="14">
      <sharedItems containsDate="1" containsMixedTypes="1" minDate="2025-12-26T00:00:00" maxDate="2028-03-14T00:00:00"/>
    </cacheField>
    <cacheField name="Status Obra" numFmtId="14">
      <sharedItems/>
    </cacheField>
    <cacheField name="Apoio - Obra - Materi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biana Siqueira Pereira - PrestServ" refreshedDate="46119.43044340278" createdVersion="8" refreshedVersion="8" minRefreshableVersion="3" recordCount="120" xr:uid="{49CB957F-2F19-497A-B7E2-74CB76D54B74}">
  <cacheSource type="worksheet">
    <worksheetSource name="Tabela1"/>
  </cacheSource>
  <cacheFields count="13">
    <cacheField name="Número" numFmtId="0">
      <sharedItems/>
    </cacheField>
    <cacheField name="Título" numFmtId="0">
      <sharedItems/>
    </cacheField>
    <cacheField name="IN-GOG" numFmtId="0">
      <sharedItems containsBlank="1" count="5">
        <s v="IN"/>
        <s v="GOG"/>
        <m u="1"/>
        <s v="IN S/PROJ" u="1"/>
        <s v="IN S/ PROJ" u="1"/>
      </sharedItems>
    </cacheField>
    <cacheField name="Status Real" numFmtId="0">
      <sharedItems containsBlank="1" count="11">
        <s v="Em Revisão"/>
        <s v="Em Andamento"/>
        <s v="Aguardando Planejamento"/>
        <s v="Aguardando Aprovação da Revisão"/>
        <s v="Reprovado pelo responsável"/>
        <s v="Encaminhado p/ o fornecedor"/>
        <s v="Aguardando Class Contabil"/>
        <s v="Aguardando Aprovação"/>
        <m u="1"/>
        <s v="Aguardando a aprovação do fornecedor" u="1"/>
        <s v="Rejeitada" u="1"/>
      </sharedItems>
    </cacheField>
    <cacheField name="Valor Global" numFmtId="165">
      <sharedItems containsSemiMixedTypes="0" containsString="0" containsNumber="1" minValue="0" maxValue="7296261.8732782379"/>
    </cacheField>
    <cacheField name="Faturado Acumulado" numFmtId="0">
      <sharedItems containsSemiMixedTypes="0" containsString="0" containsNumber="1" minValue="0" maxValue="4060584.5485677347"/>
    </cacheField>
    <cacheField name="Valor Saldo" numFmtId="165">
      <sharedItems containsSemiMixedTypes="0" containsString="0" containsNumber="1" minValue="0" maxValue="7296261.8732782379"/>
    </cacheField>
    <cacheField name="Disciplina" numFmtId="0">
      <sharedItems containsBlank="1" count="33">
        <s v="Elétrica"/>
        <s v="Civil"/>
        <s v="Mecânica"/>
        <s v="Materiais"/>
        <s v="Gestão"/>
        <m u="1"/>
        <s v="Mecânica e Cald" u="1"/>
        <s v="Planej. e Gestão" u="1"/>
        <s v="Mecânica Cald" u="1"/>
        <s v="Elétrica e Instr." u="1"/>
        <s v="Civil Projetos" u="1"/>
        <s v="Planej e Gestão" u="1"/>
        <s v="Receber Materiais" u="1"/>
        <s v="Planejamento e Gestão" u="1"/>
        <s v="Manutenção civil " u="1"/>
        <s v="Planej. Gestão" u="1"/>
        <s v="Concluída" u="1"/>
        <s v="Equipamentos" u="1"/>
        <s v="Parcela Fixa " u="1"/>
        <s v="Apoio" u="1"/>
        <s v="Barragens" u="1"/>
        <s v="Parcela Fixa" u="1"/>
        <s v="Parcela Fixa Gestão" u="1"/>
        <s v="Mecânica e caldeiraria" u="1"/>
        <s v="Elétrica e Instrumentação- Betim" u="1"/>
        <s v="Apoio as built - projetos - inspetores" u="1"/>
        <s v="Projetos Civil" u="1"/>
        <s v="Monitoramento Barragens" u="1"/>
        <s v="Apoio HS Civil" u="1"/>
        <s v="Apoio HS Elétrica" u="1"/>
        <s v="Apoio HS Andaime" u="1"/>
        <s v="Apoio HS Mecânica" u="1"/>
        <s v="Apoio Equipamentos" u="1"/>
      </sharedItems>
    </cacheField>
    <cacheField name="Local de Execução de Serviço" numFmtId="0">
      <sharedItems/>
    </cacheField>
    <cacheField name="Início BL" numFmtId="14">
      <sharedItems containsDate="1" containsMixedTypes="1" minDate="2025-05-14T00:00:00" maxDate="2026-08-04T00:00:00"/>
    </cacheField>
    <cacheField name="Término BL" numFmtId="14">
      <sharedItems containsDate="1" containsMixedTypes="1" minDate="2025-12-26T00:00:00" maxDate="2028-03-14T00:00:00"/>
    </cacheField>
    <cacheField name="Status Obra" numFmtId="14">
      <sharedItems count="11">
        <s v="STAND BY"/>
        <s v="EM ANDAMENTO"/>
        <s v="EM REPLANEJAMENTO"/>
        <s v="EM PLANEJAMENTO"/>
        <s v="ROTINA"/>
        <s v="PROJETO"/>
        <s v="MATERIAIS"/>
        <s v="INICIO CURTO PRAZO"/>
        <s v="INICIO MEDIO PRAZO"/>
        <s v="TOPOGRAFIA"/>
        <s v="INICIO ATRASADO"/>
      </sharedItems>
    </cacheField>
    <cacheField name="Apoio - Obra - Material" numFmtId="0">
      <sharedItems/>
    </cacheField>
  </cacheFields>
  <extLst>
    <ext xmlns:x14="http://schemas.microsoft.com/office/spreadsheetml/2009/9/main" uri="{725AE2AE-9491-48be-B2B4-4EB974FC3084}">
      <x14:pivotCacheDefinition pivotCacheId="2703242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s v="SS-9/2025"/>
    <s v="IN - 5250-19-005 - PT-123 - MODERNIZAÇÃO DA SUBESTAÇÃO"/>
    <s v="IN"/>
    <x v="0"/>
    <n v="859148.28650137736"/>
    <n v="452968.61832533678"/>
    <n v="406179.66817604058"/>
    <s v="Elétrica"/>
    <s v="Elétrica e Instrumentação- Betim"/>
    <d v="2025-05-14T00:00:00"/>
    <d v="2026-02-23T00:00:00"/>
    <s v="STAND BY"/>
    <s v="Obra"/>
  </r>
  <r>
    <s v="SS-60/2025"/>
    <s v="IN - 5250-20-001 - ETDI - DESARENADOR"/>
    <s v="IN"/>
    <x v="1"/>
    <n v="603497.70798898081"/>
    <n v="452896.23209333606"/>
    <n v="150601.47589564475"/>
    <s v="Civil"/>
    <s v="Civil (projeto e manutenção civil) - Betim"/>
    <d v="2025-06-26T00:00:00"/>
    <d v="2026-05-06T00:00:00"/>
    <s v="EM ANDAMENTO"/>
    <s v="Obra"/>
  </r>
  <r>
    <s v="SS-61/2025"/>
    <s v="IN - 5250-20-001 - ETDI - REDE CONTAMINADA"/>
    <s v="IN"/>
    <x v="1"/>
    <n v="3155680.4848484849"/>
    <n v="2561590.5088825133"/>
    <n v="594089.97596597159"/>
    <s v="Civil"/>
    <s v="Civil (projeto e manutenção civil) - Betim"/>
    <d v="2025-08-07T00:00:00"/>
    <d v="2026-04-07T00:00:00"/>
    <s v="EM ANDAMENTO"/>
    <s v="Obra"/>
  </r>
  <r>
    <s v="SS-62/2025"/>
    <s v="IN - 5250-20-001 - ETDI - FRENTE 01 - BOMBAS DO PPI - ELÉTRICA"/>
    <s v="IN"/>
    <x v="1"/>
    <n v="1008115.7906336088"/>
    <n v="766312.69114358549"/>
    <n v="241803.09949002333"/>
    <s v="Elétrica"/>
    <s v="Elétrica e Instrumentação- Betim"/>
    <d v="2025-07-07T00:00:00"/>
    <d v="2026-06-02T00:00:00"/>
    <s v="EM ANDAMENTO"/>
    <s v="Obra"/>
  </r>
  <r>
    <s v="SS-73/2025"/>
    <s v="IN - 5250-20-001 - ETDI - BOMBAS DO PPI - CIVIL"/>
    <s v="IN"/>
    <x v="1"/>
    <n v="196081.9173553719"/>
    <n v="11964.947918453694"/>
    <n v="184116.96943691821"/>
    <s v="Civil"/>
    <s v="Civil (projeto e manutenção civil) - Betim"/>
    <d v="2026-01-16T00:00:00"/>
    <d v="2026-05-07T00:00:00"/>
    <s v="EM ANDAMENTO"/>
    <s v="Obra"/>
  </r>
  <r>
    <s v="SS-74/2025"/>
    <s v="IN - 5250-20-001 - ETDI - CONTAMINADA FASE 2 - CIVIL"/>
    <s v="IN"/>
    <x v="0"/>
    <n v="5719499.3278236911"/>
    <n v="4060584.5485677347"/>
    <n v="1658914.7792559564"/>
    <s v="Civil"/>
    <s v="Civil (projeto e manutenção civil) - Betim"/>
    <d v="2025-07-31T00:00:00"/>
    <d v="2026-06-24T00:00:00"/>
    <s v="EM ANDAMENTO"/>
    <s v="Obra"/>
  </r>
  <r>
    <s v="SS-76/2025"/>
    <s v="IN-5250-23-014 - Novo Laboratório de Integridade da IE"/>
    <s v="IN"/>
    <x v="1"/>
    <n v="1741680.2975206613"/>
    <n v="477287.58382279123"/>
    <n v="1264392.71369787"/>
    <s v="Civil"/>
    <s v="Civil (projeto e manutenção civil) - Betim"/>
    <d v="2025-07-09T00:00:00"/>
    <d v="2025-12-26T00:00:00"/>
    <s v="EM REPLANEJAMENTO"/>
    <s v="Em replanejamento"/>
  </r>
  <r>
    <s v="SS-93/2025"/>
    <s v="Reforço do Muro da APAE"/>
    <s v="GOG"/>
    <x v="2"/>
    <n v="0"/>
    <n v="0"/>
    <n v="0"/>
    <s v="Civil"/>
    <s v="CIVIL (Projetos e Monit e Manutenção de Barragem) - Ibirité"/>
    <s v="N/A"/>
    <s v="N/A"/>
    <s v="EM PLANEJAMENTO"/>
    <s v="Fase de planejamento"/>
  </r>
  <r>
    <s v="SS-94/2025"/>
    <s v="IN - 5250-20-001 - ETDI - BOMBAS DO PPI - MECANICA"/>
    <s v="IN"/>
    <x v="1"/>
    <n v="566930.17079889809"/>
    <n v="84235.629879408487"/>
    <n v="482694.54091948958"/>
    <s v="Mecânica"/>
    <s v="Mecânica - Betim"/>
    <d v="2025-07-21T00:00:00"/>
    <d v="2026-06-17T00:00:00"/>
    <s v="EM ANDAMENTO"/>
    <s v="Obra"/>
  </r>
  <r>
    <s v="SS-96/2025"/>
    <s v="IN - 5250-25-010 - Melhoria acesso bloco K 27-TQ-01 C e D - Montagem"/>
    <s v="IN"/>
    <x v="1"/>
    <n v="1066695.0853994491"/>
    <n v="385375.64547348116"/>
    <n v="681319.43992596795"/>
    <s v="Mecânica"/>
    <s v="Mecânica - Betim"/>
    <d v="2025-09-16T00:00:00"/>
    <d v="2026-06-09T00:00:00"/>
    <s v="EM REPLANEJAMENTO"/>
    <s v="Em replanejamento"/>
  </r>
  <r>
    <s v="SS-97/2025"/>
    <s v="IN - 5250-25-011 - Melhoria acesso bloco P 27-TQ-01 K e M - Montagem"/>
    <s v="IN"/>
    <x v="1"/>
    <n v="1384845.9724517907"/>
    <n v="361658.90373106406"/>
    <n v="1023187.0687207266"/>
    <s v="Mecânica"/>
    <s v="Mecânica - Betim"/>
    <d v="2025-12-01T00:00:00"/>
    <d v="2026-03-11T00:00:00"/>
    <s v="EM REPLANEJAMENTO"/>
    <s v="Em replanejamento"/>
  </r>
  <r>
    <s v="SS-98/2025"/>
    <s v="IN - 5250-25-012 - Melhoria acesso bloco P 27-TQ-01 L e N - Montagem"/>
    <s v="IN"/>
    <x v="1"/>
    <n v="1281802.567493113"/>
    <n v="485315.66309255949"/>
    <n v="796486.90440055355"/>
    <s v="Mecânica"/>
    <s v="Mecânica - Betim"/>
    <d v="2025-09-16T00:00:00"/>
    <d v="2026-05-25T00:00:00"/>
    <s v="EM REPLANEJAMENTO"/>
    <s v="Em replanejamento"/>
  </r>
  <r>
    <s v="SS-100/2025"/>
    <s v="IN - 5250-24-051 - Melhoria do Acesso aos TQ´s de Escuros 27-TQ-116-A/B - Montagem"/>
    <s v="IN"/>
    <x v="1"/>
    <n v="596468.35261707997"/>
    <n v="266327.83323576581"/>
    <n v="330140.51938131417"/>
    <s v="Mecânica"/>
    <s v="Mecânica - Betim"/>
    <d v="2025-12-04T00:00:00"/>
    <d v="2026-05-22T00:00:00"/>
    <s v="EM REPLANEJAMENTO"/>
    <s v="Em replanejamento"/>
  </r>
  <r>
    <s v="SS-116/2025"/>
    <s v="FORNECIMENTO DE CONTAINER - OBRA ED"/>
    <s v="GOG"/>
    <x v="1"/>
    <n v="49431.603305785124"/>
    <n v="42984"/>
    <n v="6447.6033057851237"/>
    <s v="Civil"/>
    <s v="Civil (projeto e manutenção civil) - Betim"/>
    <s v="N/A"/>
    <s v="N/A"/>
    <s v="ROTINA"/>
    <s v="Rotina"/>
  </r>
  <r>
    <s v="SS-117/2025"/>
    <s v="Adequação Escadas de Marinheiro - Projeto"/>
    <s v="GOG"/>
    <x v="1"/>
    <n v="197487.85674931132"/>
    <n v="89701.095000000001"/>
    <n v="107786.76174931132"/>
    <s v="Mecânica"/>
    <s v="Mecânica - Betim"/>
    <s v="N/A"/>
    <s v="N/A"/>
    <s v="Projeto"/>
    <s v="Projeto "/>
  </r>
  <r>
    <s v="SS-132/2025"/>
    <s v="Envelope Elétrico GPI"/>
    <s v="GOG"/>
    <x v="3"/>
    <n v="1202585.3994490358"/>
    <n v="224742.04076553116"/>
    <n v="977843.35868350463"/>
    <s v="Elétrica"/>
    <s v="Elétrica e Instrumentação- Betim"/>
    <d v="2026-01-05T00:00:00"/>
    <d v="2026-08-03T00:00:00"/>
    <s v="EM REPLANEJAMENTO"/>
    <s v="Em replanejamento"/>
  </r>
  <r>
    <s v="SS-133/2025"/>
    <s v="IN - 5250-24-085 - Phase-Out do Diesel S500 - Projeto"/>
    <s v="IN"/>
    <x v="1"/>
    <n v="486217.03581267223"/>
    <n v="225345.76937635764"/>
    <n v="260871.26643631459"/>
    <s v="Mecânica"/>
    <s v="Mecânica - Betim"/>
    <s v="N/A"/>
    <s v="N/A"/>
    <s v="Projeto"/>
    <s v="Projeto "/>
  </r>
  <r>
    <s v="SS-137/2025"/>
    <s v="FORNECIMENTO DE CONTAINER - OBRA SMS E GPI - Bens"/>
    <s v="GOG"/>
    <x v="0"/>
    <n v="209895.27040324415"/>
    <n v="0"/>
    <n v="209895.27040324415"/>
    <s v="Materiais"/>
    <s v="Receber Materiais - Regap-Betim"/>
    <s v="N/A"/>
    <s v="N/A"/>
    <s v="MATERIAIS"/>
    <s v="Material"/>
  </r>
  <r>
    <s v="SS-141/2025"/>
    <s v="IN - 5250-20-001 - ETDI - Bens"/>
    <s v="IN"/>
    <x v="1"/>
    <n v="412823.77243720635"/>
    <n v="406931.24800000002"/>
    <n v="5892.5244372063316"/>
    <s v="Materiais"/>
    <s v="Receber Materiais - Regap-Betim"/>
    <s v="N/A"/>
    <s v="N/A"/>
    <s v="MATERIAIS"/>
    <s v="Material"/>
  </r>
  <r>
    <s v="SS-145/2025"/>
    <s v="IN - 5250-24-074 - Adequações para Recebimento de C5+ - Civil"/>
    <s v="IN"/>
    <x v="1"/>
    <n v="435677.23415977968"/>
    <n v="19140.167802816421"/>
    <n v="416537.06635696325"/>
    <s v="Civil"/>
    <s v="Civil (projeto e manutenção civil) - Betim"/>
    <d v="2025-12-09T00:00:00"/>
    <d v="2026-10-13T00:00:00"/>
    <s v="EM REPLANEJAMENTO"/>
    <s v="Em replanejamento"/>
  </r>
  <r>
    <s v="SS-146/2025"/>
    <s v="IN - 5250-24-074 - Adequações para Recebimento de C5+ - Mecânica"/>
    <s v="IN"/>
    <x v="1"/>
    <n v="448453.88429752068"/>
    <n v="126316.56074429971"/>
    <n v="322137.32355322095"/>
    <s v="Mecânica"/>
    <s v="Mecânica - Betim"/>
    <d v="2025-11-26T00:00:00"/>
    <d v="2026-09-24T00:00:00"/>
    <s v="EM REPLANEJAMENTO"/>
    <s v="Em replanejamento"/>
  </r>
  <r>
    <s v="SS-147/2025"/>
    <s v="IN - 5250-24-074 - Adequações para Recebimento de C5+ - Elétrica"/>
    <s v="IN"/>
    <x v="0"/>
    <n v="122509.69696969698"/>
    <n v="39133.582051871999"/>
    <n v="83376.114917824976"/>
    <s v="Elétrica"/>
    <s v="Elétrica e Instrumentação- Betim"/>
    <d v="2026-01-06T00:00:00"/>
    <d v="2026-11-03T00:00:00"/>
    <s v="EM REPLANEJAMENTO"/>
    <s v="Em replanejamento"/>
  </r>
  <r>
    <s v="SS-148/2025"/>
    <s v="IN - 5250-24-075 - Substituição PLC ALTUS CP4"/>
    <s v="IN"/>
    <x v="1"/>
    <n v="383241.79614325071"/>
    <n v="51386.964548665848"/>
    <n v="331854.83159458486"/>
    <s v="Elétrica"/>
    <s v="Elétrica e Instrumentação- Betim"/>
    <d v="2025-12-08T00:00:00"/>
    <d v="2026-05-14T00:00:00"/>
    <s v="EM ANDAMENTO"/>
    <s v="Obra"/>
  </r>
  <r>
    <s v="SS-166/2025"/>
    <s v="IN - 5250-25-010 - Melhoria acesso bloco K 27-TQ-01 E - Montagem"/>
    <s v="IN"/>
    <x v="1"/>
    <n v="436179.2837465565"/>
    <n v="22706.233700189776"/>
    <n v="413473.0500463667"/>
    <s v="Mecânica"/>
    <s v="Mecânica - Betim"/>
    <d v="2025-12-08T00:00:00"/>
    <d v="2026-05-13T00:00:00"/>
    <s v="EM REPLANEJAMENTO"/>
    <s v="Em replanejamento"/>
  </r>
  <r>
    <s v="SS-171/2025"/>
    <s v="IN - 5250-24-051 - Melhoria do Acesso aos TQ´s de Escuros 27-TQ-116-C/E - Montagem"/>
    <s v="IN"/>
    <x v="1"/>
    <n v="572189.41046831955"/>
    <n v="237569.32216715225"/>
    <n v="334620.0883011673"/>
    <s v="Mecânica"/>
    <s v="Mecânica - Betim"/>
    <d v="2025-12-04T00:00:00"/>
    <d v="2026-05-22T00:00:00"/>
    <s v="EM REPLANEJAMENTO"/>
    <s v="Em replanejamento"/>
  </r>
  <r>
    <s v="SS-172/2025"/>
    <s v="IN - 5250-24-051 - Melhoria do Acesso aos TQ´s de Escuros 27-TQ-116-D/F - Montagem"/>
    <s v="IN"/>
    <x v="1"/>
    <n v="590486.97520661168"/>
    <n v="64243.648617251558"/>
    <n v="526243.32658936013"/>
    <s v="Mecânica"/>
    <s v="Mecânica - Betim"/>
    <d v="2025-12-04T00:00:00"/>
    <d v="2026-05-22T00:00:00"/>
    <s v="EM REPLANEJAMENTO"/>
    <s v="Em replanejamento"/>
  </r>
  <r>
    <s v="SS-190/2025"/>
    <s v="IN-5250-25-100 - ELÉTRICA - ADAPTAÇÕES PARA VENDA DIRETA DE DIESEL"/>
    <s v="IN"/>
    <x v="1"/>
    <n v="31096.286501377414"/>
    <n v="10830.329174548619"/>
    <n v="20265.957326828793"/>
    <s v="Elétrica"/>
    <s v="Elétrica e Instrumentação- Betim"/>
    <d v="2026-03-16T00:00:00"/>
    <d v="2026-05-19T00:00:00"/>
    <s v="EM ANDAMENTO"/>
    <s v="Obra"/>
  </r>
  <r>
    <s v="SS-195/2025"/>
    <s v="Fornecimento de Bens - SS-31/2025"/>
    <s v="GOG"/>
    <x v="1"/>
    <n v="8757.7936690779788"/>
    <n v="0"/>
    <n v="8757.7936690779788"/>
    <s v="Materiais"/>
    <s v="Receber Materiais - Regap-Betim"/>
    <s v="N/A"/>
    <s v="N/A"/>
    <s v="MATERIAIS"/>
    <s v="Material"/>
  </r>
  <r>
    <s v="SS-196/2025"/>
    <s v="Fornecimento de Bens - SS-132/2025"/>
    <s v="GOG"/>
    <x v="1"/>
    <n v="481052.96045569761"/>
    <n v="84490.57"/>
    <n v="396562.3904556976"/>
    <s v="Materiais"/>
    <s v="Receber Materiais - Regap-Betim"/>
    <s v="N/A"/>
    <s v="N/A"/>
    <s v="MATERIAIS"/>
    <s v="Material"/>
  </r>
  <r>
    <s v="SS-198/2025"/>
    <s v="IN - 5250-24-074 - Adequações para Recebimento de C5+ - Bens"/>
    <s v="IN"/>
    <x v="1"/>
    <n v="343364.37686892424"/>
    <n v="27585.7"/>
    <n v="315778.67686892423"/>
    <s v="Materiais"/>
    <s v="Receber Materiais - Regap-Betim"/>
    <s v="N/A"/>
    <s v="N/A"/>
    <s v="MATERIAIS"/>
    <s v="Material"/>
  </r>
  <r>
    <s v="SS-199/2025"/>
    <s v="IN - 5250-19-005 - PT-123 - MODERNIZAÇÃO DA SUBESTAÇÃO - Bens"/>
    <s v="IN"/>
    <x v="1"/>
    <n v="33203.95212216286"/>
    <n v="0"/>
    <n v="33203.95212216286"/>
    <s v="Materiais"/>
    <s v="Receber Materiais - Regap-Betim"/>
    <s v="N/A"/>
    <s v="N/A"/>
    <s v="MATERIAIS"/>
    <s v="Material"/>
  </r>
  <r>
    <s v="SS-228/2025"/>
    <s v="IN - 5250-17-007 - MODERNIZAÇÃO TURBO EXPANSOR 103-TG-01 - ELÉTRICA"/>
    <s v="IN"/>
    <x v="4"/>
    <n v="0"/>
    <n v="0"/>
    <n v="0"/>
    <s v="Elétrica"/>
    <s v="Elétrica e Instrumentação- Betim"/>
    <d v="2026-04-01T00:00:00"/>
    <d v="2026-06-15T00:00:00"/>
    <s v="EM REPLANEJAMENTO"/>
    <s v="Em replanejamento"/>
  </r>
  <r>
    <s v="SS-233/2025"/>
    <s v="Fornecimento de Bens - SS-62/2025"/>
    <s v="GOG"/>
    <x v="4"/>
    <n v="7506.7534865941661"/>
    <n v="0"/>
    <n v="7506.7534865941661"/>
    <s v="Materiais"/>
    <s v="Receber Materiais - Regap-Betim"/>
    <s v="N/A"/>
    <s v="N/A"/>
    <s v="MATERIAIS"/>
    <s v="Material"/>
  </r>
  <r>
    <s v="SS-235/2025"/>
    <s v="Apoio ao S2"/>
    <s v="GOG"/>
    <x v="1"/>
    <n v="205834.34710743805"/>
    <n v="97220.638294993638"/>
    <n v="108613.70881244441"/>
    <s v="Elétrica"/>
    <s v="Elétrica e Instrumentação- Betim"/>
    <s v="N/A"/>
    <s v="N/A"/>
    <s v="Projeto"/>
    <s v="Apoio"/>
  </r>
  <r>
    <s v="SS-236/2025"/>
    <s v="Apoio ao GPI"/>
    <s v="GOG"/>
    <x v="1"/>
    <n v="124690.50137741047"/>
    <n v="33125.363052690693"/>
    <n v="91565.138324719781"/>
    <s v="Elétrica"/>
    <s v="Elétrica e Instrumentação- Betim"/>
    <s v="N/A"/>
    <s v="N/A"/>
    <s v="Projeto"/>
    <s v="Apoio"/>
  </r>
  <r>
    <s v="SS-1/2026"/>
    <s v="Adequação Escadas de Marinheiro - Execução"/>
    <s v="GOG"/>
    <x v="1"/>
    <n v="47248.804407713498"/>
    <n v="22307.649515600515"/>
    <n v="24941.154892112983"/>
    <s v="Civil"/>
    <s v="Civil (projeto e manutenção civil) - Betim"/>
    <d v="2026-01-12T00:00:00"/>
    <d v="2026-04-01T00:00:00"/>
    <s v="EM ANDAMENTO"/>
    <s v="Obra"/>
  </r>
  <r>
    <s v="SS-2/2026"/>
    <s v="PT-200 - Escavação Manual para Pré Furos e Fundação"/>
    <s v="GOG"/>
    <x v="1"/>
    <n v="128718.2699724518"/>
    <n v="15871.783867620012"/>
    <n v="112846.4861048318"/>
    <s v="Civil"/>
    <s v="Civil (projeto e manutenção civil) - Betim"/>
    <d v="2026-02-05T00:00:00"/>
    <d v="2026-03-31T00:00:00"/>
    <s v="EM ANDAMENTO"/>
    <s v="Obra"/>
  </r>
  <r>
    <s v="SS-3/2026"/>
    <s v="Escaneamento a laser da Unidade U-121"/>
    <s v="GOG"/>
    <x v="1"/>
    <n v="664369.86225895316"/>
    <n v="351728.05972811289"/>
    <n v="312641.80253084027"/>
    <s v="Civil"/>
    <s v="Civil (projeto e manutenção civil) - Betim"/>
    <d v="2026-02-05T00:00:00"/>
    <d v="2026-04-15T00:00:00"/>
    <s v="EM ANDAMENTO"/>
    <s v="Obra"/>
  </r>
  <r>
    <s v="SS-4/2026"/>
    <s v="IN-5250-24-013 - ALIMENTAÇÕES PROVISÓRIAS TAF - SDCD CCF-I"/>
    <s v="IN"/>
    <x v="1"/>
    <n v="52114.887052341604"/>
    <n v="42712.924740598879"/>
    <n v="9401.9623117427254"/>
    <s v="Elétrica"/>
    <s v="Elétrica e Instrumentação- Betim"/>
    <d v="2026-02-03T00:00:00"/>
    <d v="2026-06-26T00:00:00"/>
    <s v="EM ANDAMENTO"/>
    <s v="Obra"/>
  </r>
  <r>
    <s v="SS-5/2026"/>
    <s v="Sondagem Revamp"/>
    <s v="GOG"/>
    <x v="1"/>
    <n v="82380.000000000015"/>
    <n v="52577.91451968706"/>
    <n v="29802.085480312955"/>
    <s v="Civil"/>
    <s v="Civil (projeto e manutenção civil) - Betim"/>
    <d v="2026-01-30T00:00:00"/>
    <d v="2026-02-27T00:00:00"/>
    <s v="EM ANDAMENTO"/>
    <s v="Sondagem"/>
  </r>
  <r>
    <s v="SS-8/2026"/>
    <s v="Adequação Escadas de Marinheiro - Execução UDAV 01/02"/>
    <s v="GOG"/>
    <x v="1"/>
    <n v="126086.98622589532"/>
    <n v="0"/>
    <n v="126086.98622589532"/>
    <s v="Civil"/>
    <s v="Civil (projeto e manutenção civil) - Betim"/>
    <d v="2026-04-01T00:00:00"/>
    <d v="2026-08-20T00:00:00"/>
    <s v="EM ANDAMENTO"/>
    <s v="Obra"/>
  </r>
  <r>
    <s v="SS-9/2026"/>
    <s v="Adequação Escadas de Marinheiro - Fornecimento de Bens"/>
    <s v="GOG"/>
    <x v="1"/>
    <n v="18400.34976642461"/>
    <n v="0"/>
    <n v="18400.34976642461"/>
    <s v="Materiais"/>
    <s v="Receber Materiais - Regap-Betim"/>
    <s v="N/A"/>
    <s v="N/A"/>
    <s v="MATERIAIS"/>
    <s v="Material"/>
  </r>
  <r>
    <s v="SS-14/2026"/>
    <s v="PMBC - 5250-26-100 - ALTERAÇÕES - HAZOP DA U-001 E U-101"/>
    <s v="GOG"/>
    <x v="5"/>
    <n v="19164.881542699728"/>
    <n v="0"/>
    <n v="19164.881542699728"/>
    <s v="Mecânica"/>
    <s v="Mecânica - Betim"/>
    <d v="2026-04-08T00:00:00"/>
    <d v="2026-06-12T00:00:00"/>
    <s v="INICIO CURTO PRAZO"/>
    <s v="Obra"/>
  </r>
  <r>
    <s v="SS-16/2026"/>
    <s v="PMBC - 5250-26-100 - HAZOP DA U-001 E U-101 - BENS"/>
    <s v="GOG"/>
    <x v="5"/>
    <n v="16989.469673390784"/>
    <n v="0"/>
    <n v="16989.469673390784"/>
    <s v="Materiais"/>
    <s v="Receber Materiais - Regap-Betim"/>
    <s v="N/A"/>
    <s v="N/A"/>
    <s v="MATERIAIS"/>
    <s v="Material"/>
  </r>
  <r>
    <s v="SS-36/2026"/>
    <s v="Manutenção Civil - Linha do Flare na Av. 8"/>
    <s v="GOG"/>
    <x v="1"/>
    <n v="577815.92286501371"/>
    <n v="145521.40401825099"/>
    <n v="432294.51884676272"/>
    <s v="Civil"/>
    <s v="Civil (projeto e manutenção civil) - Betim"/>
    <d v="2026-02-05T00:00:00"/>
    <d v="2026-07-01T00:00:00"/>
    <s v="EM ANDAMENTO"/>
    <s v="Obra"/>
  </r>
  <r>
    <s v="SS-38/2026"/>
    <s v="IN-5250-24-092 - PT-200 - Estrutura Metálica - Fornecimento de Bens"/>
    <s v="IN"/>
    <x v="5"/>
    <n v="3219796.9925417085"/>
    <n v="0"/>
    <n v="3219796.9925417085"/>
    <s v="Materiais"/>
    <s v="Receber Materiais - Regap-Betim"/>
    <s v="N/A"/>
    <s v="N/A"/>
    <s v="MATERIAIS"/>
    <s v="Material"/>
  </r>
  <r>
    <s v="SS-39/2026"/>
    <s v="IN-5250-24-092 - PT-200 - Estrutura Metálica - Fabricação"/>
    <s v="IN"/>
    <x v="5"/>
    <n v="7296261.8732782379"/>
    <n v="0"/>
    <n v="7296261.8732782379"/>
    <s v="Mecânica"/>
    <s v="Mecânica - Betim"/>
    <d v="2026-03-16T00:00:00"/>
    <d v="2026-07-28T00:00:00"/>
    <s v="EM ANDAMENTO"/>
    <s v="Obra"/>
  </r>
  <r>
    <s v="SS-40/2026"/>
    <s v="IN-5250-24-092 - PT-200 - Estrutura Metálica - Montagem"/>
    <s v="IN"/>
    <x v="6"/>
    <n v="5251157.1790633602"/>
    <n v="0"/>
    <n v="5251157.1790633602"/>
    <s v="Mecânica"/>
    <s v="Mecânica - Betim"/>
    <d v="2026-03-16T00:00:00"/>
    <d v="2026-07-28T00:00:00"/>
    <s v="EM REPLANEJAMENTO"/>
    <s v="Em replanejamento"/>
  </r>
  <r>
    <s v="SS-41/2026"/>
    <s v="IN-5250-24-092 - PT-200 - Civil e Fundações"/>
    <s v="IN"/>
    <x v="6"/>
    <n v="1382058.9752066117"/>
    <n v="0"/>
    <n v="1382058.9752066117"/>
    <s v="Civil"/>
    <s v="Civil (projeto e manutenção civil) - Betim"/>
    <d v="2026-04-08T00:00:00"/>
    <d v="2026-09-11T00:00:00"/>
    <s v="INICIO CURTO PRAZO"/>
    <s v="Obra"/>
  </r>
  <r>
    <s v="SS-42/2026"/>
    <s v="IN-5250-24-092 - PT-200 - Civil e Arquitetura"/>
    <s v="IN"/>
    <x v="6"/>
    <n v="581230.44628099177"/>
    <n v="0"/>
    <n v="581230.44628099177"/>
    <s v="Civil"/>
    <s v="Civil (projeto e manutenção civil) - Betim"/>
    <d v="2026-08-03T00:00:00"/>
    <d v="2026-12-29T00:00:00"/>
    <s v="INICIO MEDIO PRAZO"/>
    <s v="Obra"/>
  </r>
  <r>
    <s v="SS-43/2026"/>
    <s v="IN - 5250-24-085 - Phase-Out do Diesel S500 - Mudança 2.1 - Aquisição de Bens (Tubovias)"/>
    <s v="IN"/>
    <x v="5"/>
    <n v="605544.81741908984"/>
    <n v="0"/>
    <n v="605544.81741908984"/>
    <s v="Materiais"/>
    <s v="Receber Materiais - Regap-Betim"/>
    <s v="N/A"/>
    <s v="N/A"/>
    <s v="MATERIAIS"/>
    <s v="Material"/>
  </r>
  <r>
    <s v="SS-44/2026"/>
    <s v="IN - 5250-24-085 - Phase-Out do Diesel S500 - Mudança 2.1 - Fabricação (Tubovias)"/>
    <s v="IN"/>
    <x v="5"/>
    <n v="876691.98898071621"/>
    <n v="0"/>
    <n v="876691.98898071621"/>
    <s v="Mecânica"/>
    <s v="Mecânica - Betim"/>
    <d v="2026-03-12T00:00:00"/>
    <d v="2026-05-15T00:00:00"/>
    <s v="EM ANDAMENTO"/>
    <s v="Obra"/>
  </r>
  <r>
    <s v="SS-45/2026"/>
    <s v="IN - 5250-24-085 - Phase-Out do Diesel S500 - Mudança 2.1 - Montagem (Tubovias)"/>
    <s v="IN"/>
    <x v="6"/>
    <n v="1134057.7851239669"/>
    <n v="0"/>
    <n v="1134057.7851239669"/>
    <s v="Mecânica"/>
    <s v="Mecânica - Betim"/>
    <d v="2026-04-06T00:00:00"/>
    <d v="2026-07-01T00:00:00"/>
    <s v="INICIO CURTO PRAZO"/>
    <s v="Obra"/>
  </r>
  <r>
    <s v="SS-49/2026"/>
    <s v="IN-5250-24-092 - LEVANTAMENTO TOPOGRÁFICO PT-200 x PT-00"/>
    <s v="IN"/>
    <x v="1"/>
    <n v="13419.779614325071"/>
    <n v="3661.4595527152942"/>
    <n v="9758.3200616097765"/>
    <s v="Civil"/>
    <s v="Civil (projeto e manutenção civil) - Betim"/>
    <s v="N/A"/>
    <s v="N/A"/>
    <s v="TOPOGRAFIA"/>
    <s v="Topografia"/>
  </r>
  <r>
    <s v="SS-50/2026"/>
    <s v="Infraestrutura e Gestão - Parcela Fixa de Gestão - Abril/2026"/>
    <s v="GOG"/>
    <x v="7"/>
    <n v="1198055.5592286501"/>
    <n v="0"/>
    <n v="1198055.5592286501"/>
    <s v="Gestão"/>
    <s v="PLANEJAMENTO E GESTÃO"/>
    <s v="N/A"/>
    <s v="N/A"/>
    <s v="ROTINA"/>
    <s v="Rotina"/>
  </r>
  <r>
    <s v="SS-51/2026"/>
    <s v="Serviço de Apoio - Movimentação de Carga e Disponibilização de Equipamento - Abril/2026"/>
    <s v="GOG"/>
    <x v="6"/>
    <n v="2820563.6914600548"/>
    <n v="0"/>
    <n v="2820563.6914600548"/>
    <s v="Gestão"/>
    <s v="PLANEJAMENTO E GESTÃO"/>
    <s v="N/A"/>
    <s v="N/A"/>
    <s v="ROTINA"/>
    <s v="Rotina"/>
  </r>
  <r>
    <s v="SS-52/2026"/>
    <s v="Manutenção Civil - Rotina - Abril/2026"/>
    <s v="GOG"/>
    <x v="6"/>
    <n v="369852.08815427002"/>
    <n v="0"/>
    <n v="369852.08815427002"/>
    <s v="Civil"/>
    <s v="Civil (projeto e manutenção civil) - Betim"/>
    <s v="N/A"/>
    <s v="N/A"/>
    <s v="ROTINA"/>
    <s v="Rotina"/>
  </r>
  <r>
    <s v="SS-53/2026"/>
    <s v="Apoio de HS - Mecânica - Abril/2026"/>
    <s v="GOG"/>
    <x v="7"/>
    <n v="219756"/>
    <n v="0"/>
    <n v="219756"/>
    <s v="Mecânica"/>
    <s v="Mecânica - Betim"/>
    <s v="N/A"/>
    <s v="N/A"/>
    <s v="ROTINA"/>
    <s v="Rotina"/>
  </r>
  <r>
    <s v="SS-54/2026"/>
    <s v="Apoio de HS - Andaime - Abril/2026"/>
    <s v="GOG"/>
    <x v="7"/>
    <n v="240235.81267217631"/>
    <n v="0"/>
    <n v="240235.81267217631"/>
    <s v="Mecânica"/>
    <s v="Mecânica - Betim"/>
    <s v="N/A"/>
    <s v="N/A"/>
    <s v="ROTINA"/>
    <s v="Rotina"/>
  </r>
  <r>
    <s v="SS-55/2026"/>
    <s v="Apoio de HS - Elétrica/Instrumentação -Abril/2026"/>
    <s v="GOG"/>
    <x v="5"/>
    <n v="165707.9008264463"/>
    <n v="0"/>
    <n v="165707.9008264463"/>
    <s v="Elétrica"/>
    <s v="Elétrica e Instrumentação- Betim"/>
    <s v="N/A"/>
    <s v="N/A"/>
    <s v="ROTINA"/>
    <s v="Rotina"/>
  </r>
  <r>
    <s v="SS-56/2026"/>
    <s v="Apoio de HS - Civil - Abril/2026"/>
    <s v="GOG"/>
    <x v="6"/>
    <n v="71745.002754820933"/>
    <n v="0"/>
    <n v="71745.002754820933"/>
    <s v="Civil"/>
    <s v="Civil (projeto e manutenção civil) - Betim"/>
    <s v="N/A"/>
    <s v="N/A"/>
    <s v="ROTINA"/>
    <s v="Rotina"/>
  </r>
  <r>
    <s v="SS-57/2026"/>
    <s v="Apoio para PROJ - Empreendimento - Abril/2026"/>
    <s v="GOG"/>
    <x v="7"/>
    <n v="52233.719008264459"/>
    <n v="0"/>
    <n v="52233.719008264459"/>
    <s v="Gestão"/>
    <s v="PLANEJAMENTO E GESTÃO"/>
    <s v="N/A"/>
    <s v="N/A"/>
    <s v="ROTINA"/>
    <s v="Rotina"/>
  </r>
  <r>
    <s v="SS-58/2026"/>
    <s v="Apoio para PROJ - As Built - Abril/2026"/>
    <s v="GOG"/>
    <x v="7"/>
    <n v="45927.724517906339"/>
    <n v="0"/>
    <n v="45927.724517906339"/>
    <s v="Gestão"/>
    <s v="PLANEJAMENTO E GESTÃO"/>
    <s v="N/A"/>
    <s v="N/A"/>
    <s v="ROTINA"/>
    <s v="Rotina"/>
  </r>
  <r>
    <s v="SS-59/2026"/>
    <s v="Monitoramento das Barragens - Abril/2026"/>
    <s v="GOG"/>
    <x v="7"/>
    <n v="63562.269972451795"/>
    <n v="0"/>
    <n v="63562.269972451795"/>
    <s v="Civil"/>
    <s v="CIVIL (Projetos e Monit e Manutenção de Barragem) - Ibirité"/>
    <s v="N/A"/>
    <s v="N/A"/>
    <s v="ROTINA"/>
    <s v="Rotina"/>
  </r>
  <r>
    <s v="SS-60/2026"/>
    <s v="Apoio de Equipe de Alpinistas - Abril/2026"/>
    <s v="GOG"/>
    <x v="7"/>
    <n v="105605.28925619835"/>
    <n v="0"/>
    <n v="105605.28925619835"/>
    <s v="Gestão"/>
    <s v="PLANEJAMENTO E GESTÃO"/>
    <s v="N/A"/>
    <s v="N/A"/>
    <s v="ROTINA"/>
    <s v="Rotina"/>
  </r>
  <r>
    <s v="SS-61/2026"/>
    <s v="Manutenção Civil - Apoio ao PM - Abril/2026"/>
    <s v="GOG"/>
    <x v="6"/>
    <n v="19928.705234159781"/>
    <n v="0"/>
    <n v="19928.705234159781"/>
    <s v="Civil"/>
    <s v="Civil (projeto e manutenção civil) - Betim"/>
    <s v="N/A"/>
    <s v="N/A"/>
    <s v="ROTINA"/>
    <s v="Rotina"/>
  </r>
  <r>
    <s v="SS-62/2026"/>
    <s v="RECOMPOSIÇÃO DA REDE DE DRENAGEM P3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63/2026"/>
    <s v="Rede Envelopada - Armazéns S5 x S6"/>
    <s v="GOG"/>
    <x v="7"/>
    <n v="296558.04958677688"/>
    <n v="0"/>
    <n v="296558.04958677688"/>
    <s v="Civil"/>
    <s v="Civil (projeto e manutenção civil) - Betim"/>
    <d v="2026-04-14T00:00:00"/>
    <d v="2026-06-30T00:00:00"/>
    <s v="INICIO CURTO PRAZO"/>
    <s v="Obra"/>
  </r>
  <r>
    <s v="SS-64/2026"/>
    <s v="Manutenção e reparo do asfalto"/>
    <s v="GOG"/>
    <x v="5"/>
    <n v="211997.56473829201"/>
    <n v="0"/>
    <n v="211997.56473829201"/>
    <s v="Civil"/>
    <s v="Civil (projeto e manutenção civil) - Betim"/>
    <s v="N/A"/>
    <s v="N/A"/>
    <s v="ROTINA"/>
    <s v="Rotina"/>
  </r>
  <r>
    <s v="SS-65/2026"/>
    <s v="ATIVIDADE HS - LIMPEZA DE ROTA - ÁREA ETE"/>
    <s v="GOG"/>
    <x v="5"/>
    <n v="224250.00550964189"/>
    <n v="0"/>
    <n v="224250.00550964189"/>
    <s v="Civil"/>
    <s v="Civil (projeto e manutenção civil) - Betim"/>
    <s v="N/A"/>
    <s v="N/A"/>
    <s v="Projeto"/>
    <s v="Apoio"/>
  </r>
  <r>
    <s v="SS-66/2026"/>
    <s v="CALDEIRAS 0121-F-001 ABC - FUNDAÇÃO PARA GRUA"/>
    <s v="GOG"/>
    <x v="4"/>
    <n v="1008221.8512396694"/>
    <n v="0"/>
    <n v="1008221.8512396694"/>
    <s v="Civil"/>
    <s v="Civil (projeto e manutenção civil) - Betim"/>
    <d v="2026-03-30T00:00:00"/>
    <d v="2026-06-17T00:00:00"/>
    <s v="INICIO ATRASADO"/>
    <s v="Obra"/>
  </r>
  <r>
    <s v="SS-67/2026"/>
    <s v="IN-5250-24-062 - Adequações CEM´s - Mudança 1 - U-003 (Instrumentação)"/>
    <s v="IN"/>
    <x v="7"/>
    <n v="14098.137741046832"/>
    <n v="0"/>
    <n v="14098.137741046832"/>
    <s v="Elétrica"/>
    <s v="Elétrica e Instrumentação- Betim"/>
    <d v="2026-04-06T00:00:00"/>
    <d v="2026-05-14T00:00:00"/>
    <s v="INICIO ATRASADO"/>
    <s v="Obra"/>
  </r>
  <r>
    <s v="SS-68/2026"/>
    <s v="IN-5250-24-062 - Adequações CEM´s - Mudança 2 - U-103 (Elétrica)"/>
    <s v="IN"/>
    <x v="7"/>
    <n v="62302.203856749315"/>
    <n v="0"/>
    <n v="62302.203856749315"/>
    <s v="Elétrica"/>
    <s v="Elétrica e Instrumentação- Betim"/>
    <d v="2026-04-06T00:00:00"/>
    <d v="2026-06-25T00:00:00"/>
    <s v="INICIO ATRASADO"/>
    <s v="Obra"/>
  </r>
  <r>
    <s v="SS-69/2026"/>
    <s v="IN-5250-24-062 - Adequações CEM´s - Mudança 2 - U-103 (Instrumentação)"/>
    <s v="IN"/>
    <x v="7"/>
    <n v="4391.7245179063357"/>
    <n v="0"/>
    <n v="4391.7245179063357"/>
    <s v="Elétrica"/>
    <s v="Elétrica e Instrumentação- Betim"/>
    <d v="2026-04-06T00:00:00"/>
    <d v="2026-06-25T00:00:00"/>
    <s v="INICIO ATRASADO"/>
    <s v="Obra"/>
  </r>
  <r>
    <s v="SS-70/2026"/>
    <s v="IN-5250-24-062 - Adequações CEM´s - Mudança 3 - U-114 (Elétrica)"/>
    <s v="IN"/>
    <x v="7"/>
    <n v="27249.079889807163"/>
    <n v="0"/>
    <n v="27249.079889807163"/>
    <s v="Elétrica"/>
    <s v="Elétrica e Instrumentação- Betim"/>
    <d v="2026-04-13T00:00:00"/>
    <d v="2026-06-19T00:00:00"/>
    <s v="INICIO CURTO PRAZO"/>
    <s v="Obra"/>
  </r>
  <r>
    <s v="SS-71/2026"/>
    <s v="IN-5250-24-062 - Adequações CEM´s - Mudança 3 - U-114 (Instrumentação)"/>
    <s v="IN"/>
    <x v="7"/>
    <n v="2283.1294765840221"/>
    <n v="0"/>
    <n v="2283.1294765840221"/>
    <s v="Elétrica"/>
    <s v="Elétrica e Instrumentação- Betim"/>
    <d v="2026-04-13T00:00:00"/>
    <d v="2026-06-19T00:00:00"/>
    <s v="INICIO CURTO PRAZO"/>
    <s v="Obra"/>
  </r>
  <r>
    <s v="SS-72/2026"/>
    <s v="IN-5250-24-062 - Adequações CEM´s - Mudança 4 - U-121 (Instrumentação)"/>
    <s v="IN"/>
    <x v="7"/>
    <n v="30134.104683195594"/>
    <n v="0"/>
    <n v="30134.104683195594"/>
    <s v="Elétrica"/>
    <s v="Elétrica e Instrumentação- Betim"/>
    <d v="2026-04-20T00:00:00"/>
    <d v="2026-06-16T00:00:00"/>
    <s v="INICIO CURTO PRAZO"/>
    <s v="Obra"/>
  </r>
  <r>
    <s v="SS-73/2026"/>
    <s v="ELÉTRICA E INSTRUMENTAÇÃO - ALIMENTAÇÕES PROVISÓRIAS TAF - SDCD UDAV II"/>
    <s v="GOG"/>
    <x v="1"/>
    <n v="66716.74931129477"/>
    <n v="42623.389507363841"/>
    <n v="24093.359803930929"/>
    <s v="Elétrica"/>
    <s v="Elétrica e Instrumentação- Betim"/>
    <d v="2026-03-23T00:00:00"/>
    <d v="2026-05-08T00:00:00"/>
    <s v="EM ANDAMENTO"/>
    <s v="Obra"/>
  </r>
  <r>
    <s v="SS-74/2026"/>
    <s v="TOPOGRAFIA - 0027-TQ-0035B"/>
    <s v="GOG"/>
    <x v="5"/>
    <n v="8136.484848484848"/>
    <n v="0"/>
    <n v="8136.484848484848"/>
    <s v="Civil"/>
    <s v="Civil (projeto e manutenção civil) - Betim"/>
    <s v="N/A"/>
    <s v="N/A"/>
    <s v="TOPOGRAFIA"/>
    <s v="Topografia"/>
  </r>
  <r>
    <s v="SS-75/2026"/>
    <s v="TOPOGRAFIA - 0027-TQ-0037B"/>
    <s v="GOG"/>
    <x v="1"/>
    <n v="8136.484848484848"/>
    <n v="0"/>
    <n v="8136.484848484848"/>
    <s v="Civil"/>
    <s v="Civil (projeto e manutenção civil) - Betim"/>
    <s v="N/A"/>
    <s v="N/A"/>
    <s v="TOPOGRAFIA"/>
    <s v="Topografia"/>
  </r>
  <r>
    <s v="SS-76/2026"/>
    <s v="TOPOGRAFIA - 0027-TQ-0001N"/>
    <s v="GOG"/>
    <x v="1"/>
    <n v="8136.484848484848"/>
    <n v="0"/>
    <n v="8136.484848484848"/>
    <s v="Civil"/>
    <s v="Civil (projeto e manutenção civil) - Betim"/>
    <s v="N/A"/>
    <s v="N/A"/>
    <s v="TOPOGRAFIA"/>
    <s v="Topografia"/>
  </r>
  <r>
    <s v="SS-77/2026"/>
    <s v="TOPOGRAFIA - 0027-TQ-0001E"/>
    <s v="GOG"/>
    <x v="1"/>
    <n v="8136.484848484848"/>
    <n v="0"/>
    <n v="8136.484848484848"/>
    <s v="Civil"/>
    <s v="Civil (projeto e manutenção civil) - Betim"/>
    <s v="N/A"/>
    <s v="N/A"/>
    <s v="TOPOGRAFIA"/>
    <s v="Topografia"/>
  </r>
  <r>
    <s v="SS-78/2026"/>
    <s v="DRENAGEM TUBOVIA DIRECIONADA PARA ALE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79/2026"/>
    <s v="UNIDADE 47 - TANQUE DE ÁGUA ÁCIDA"/>
    <s v="GOG"/>
    <x v="5"/>
    <n v="233278.53443526171"/>
    <n v="0"/>
    <n v="233278.53443526171"/>
    <s v="Civil"/>
    <s v="Civil (projeto e manutenção civil) - Betim"/>
    <d v="2026-04-01T00:00:00"/>
    <d v="2026-05-29T00:00:00"/>
    <s v="INICIO ATRASADO"/>
    <s v="Obra"/>
  </r>
  <r>
    <s v="SS-80/2026"/>
    <s v="FURO DE SONDAGEM - REATOR 110-R-01"/>
    <s v="GOG"/>
    <x v="6"/>
    <n v="8279.7024793388427"/>
    <n v="0"/>
    <n v="8279.7024793388427"/>
    <s v="Civil"/>
    <s v="Civil (projeto e manutenção civil) - Betim"/>
    <d v="2026-04-30T00:00:00"/>
    <d v="2026-06-10T00:00:00"/>
    <s v="INICIO CURTO PRAZO"/>
    <s v="Sondagem"/>
  </r>
  <r>
    <s v="SS-81/2026"/>
    <s v="TOPOGRAFIA U-623 / DRENAGEM PLUVIAL - BLOCO L"/>
    <s v="GOG"/>
    <x v="1"/>
    <n v="30511.801652892562"/>
    <n v="8136.5767838117645"/>
    <n v="22375.224869080797"/>
    <s v="Civil"/>
    <s v="Civil (projeto e manutenção civil) - Betim"/>
    <s v="N/A"/>
    <s v="N/A"/>
    <s v="TOPOGRAFIA"/>
    <s v="Topografia"/>
  </r>
  <r>
    <s v="SS-82/2026"/>
    <s v="TOPOGRAFIA - DRENAGEM CONTAMINADA BLOCO G"/>
    <s v="GOG"/>
    <x v="1"/>
    <n v="30511.801652892562"/>
    <n v="2034.1441959529413"/>
    <n v="28477.657456939622"/>
    <s v="Civil"/>
    <s v="Civil (projeto e manutenção civil) - Betim"/>
    <s v="N/A"/>
    <s v="N/A"/>
    <s v="TOPOGRAFIA"/>
    <s v="Topografia"/>
  </r>
  <r>
    <s v="SS-83/2026"/>
    <s v="TOPOGRAFIA - ESTRUTURA PLATAFORMA PERMUTADORES"/>
    <s v="GOG"/>
    <x v="6"/>
    <n v="30511.801652892562"/>
    <n v="0"/>
    <n v="30511.801652892562"/>
    <s v="Civil"/>
    <s v="Civil (projeto e manutenção civil) - Betim"/>
    <s v="N/A"/>
    <s v="N/A"/>
    <s v="TOPOGRAFIA"/>
    <s v="Topografia"/>
  </r>
  <r>
    <s v="SS-84/2026"/>
    <s v="IN-5250-23-030 - SECAGEM DO AR PRIORITÁRIO CCF-II - CIVIL"/>
    <s v="IN"/>
    <x v="6"/>
    <n v="3816.969696969697"/>
    <n v="0"/>
    <n v="3816.969696969697"/>
    <s v="Civil"/>
    <s v="Civil (projeto e manutenção civil) - Betim"/>
    <d v="2026-03-30T00:00:00"/>
    <d v="2026-04-17T00:00:00"/>
    <s v="EM ANDAMENTO"/>
    <s v="Obra"/>
  </r>
  <r>
    <s v="SS-85/2026"/>
    <s v="IN-5250-23-030 - SECAGEM DO AR PRIORITÁRIO CCF-II - TUBULAÇÃO FABRICAÇÃO"/>
    <s v="IN"/>
    <x v="7"/>
    <n v="47708.25344352617"/>
    <n v="0"/>
    <n v="47708.25344352617"/>
    <s v="Mecânica"/>
    <s v="Mecânica - Betim"/>
    <d v="2026-03-31T00:00:00"/>
    <d v="2026-04-09T00:00:00"/>
    <s v="EM ANDAMENTO"/>
    <s v="Obra"/>
  </r>
  <r>
    <s v="SS-86/2026"/>
    <s v="IN-5250-23-030 - SECAGEM DO AR PRIORITÁRIO CCF-II - TUBULAÇÃO MONTAGEM"/>
    <s v="IN"/>
    <x v="6"/>
    <n v="47882.457300275484"/>
    <n v="0"/>
    <n v="47882.457300275484"/>
    <s v="Mecânica"/>
    <s v="Mecânica - Betim"/>
    <d v="2026-03-30T00:00:00"/>
    <d v="2026-04-16T00:00:00"/>
    <s v="EM ANDAMENTO"/>
    <s v="Obra"/>
  </r>
  <r>
    <s v="SS-87/2026"/>
    <s v="IN-5250-23-030 - SECAGEM DO AR PRIORITÁRIO CCF-II - MECÂNICA - MONTAGEM DO VASO"/>
    <s v="IN"/>
    <x v="6"/>
    <n v="42270.380165289258"/>
    <n v="0"/>
    <n v="42270.380165289258"/>
    <s v="Mecânica"/>
    <s v="Mecânica - Betim"/>
    <d v="2026-03-30T00:00:00"/>
    <d v="2026-04-10T00:00:00"/>
    <s v="EM ANDAMENTO"/>
    <s v="Obra"/>
  </r>
  <r>
    <s v="SS-88/2026"/>
    <s v="IN-5250-23-030 - SECAGEM DO AR PRIORITÁRIO CCF-II - INSTRUMENTAÇÃO"/>
    <s v="IN"/>
    <x v="7"/>
    <n v="9651.5371900826449"/>
    <n v="0"/>
    <n v="9651.5371900826449"/>
    <s v="Mecânica"/>
    <s v="Mecânica - Betim"/>
    <d v="2026-03-30T00:00:00"/>
    <d v="2026-04-17T00:00:00"/>
    <s v="EM ANDAMENTO"/>
    <s v="Obra"/>
  </r>
  <r>
    <s v="SS-89/2026"/>
    <s v="Manutenção Civil - PÁTIO DE ENXOFRE"/>
    <s v="GOG"/>
    <x v="5"/>
    <n v="1035416.0991735538"/>
    <n v="0"/>
    <n v="1035416.0991735538"/>
    <s v="Civil"/>
    <s v="Civil (projeto e manutenção civil) - Betim"/>
    <d v="2026-05-04T00:00:00"/>
    <d v="2026-09-21T00:00:00"/>
    <s v="INICIO MEDIO PRAZO"/>
    <s v="Obra"/>
  </r>
  <r>
    <s v="SS-90/2026"/>
    <s v="Manutenção Civil - CANAL DE PINTADOS"/>
    <s v="GOG"/>
    <x v="7"/>
    <n v="1565744.9476584024"/>
    <n v="0"/>
    <n v="1565744.9476584024"/>
    <s v="Civil"/>
    <s v="Civil (projeto e manutenção civil) - Betim"/>
    <d v="2026-05-04T00:00:00"/>
    <d v="2028-03-13T00:00:00"/>
    <s v="EM REPLANEJAMENTO"/>
    <s v="Em replanejamento"/>
  </r>
  <r>
    <s v="SS-96/2026"/>
    <s v="CFTV U-47 e seccionadoras PT-123"/>
    <s v="GOG"/>
    <x v="6"/>
    <n v="70798.909090909088"/>
    <n v="0"/>
    <n v="70798.909090909088"/>
    <s v="Elétrica"/>
    <s v="Elétrica e Instrumentação- Betim"/>
    <d v="2026-04-06T00:00:00"/>
    <d v="2026-05-11T00:00:00"/>
    <s v="INICIO ATRASADO"/>
    <s v="Obra"/>
  </r>
  <r>
    <s v="SS-97/2026"/>
    <s v="REF0143952_108-FV-0084 /FT-084 CORIOLIS (TUBULAÇÃO)"/>
    <s v="GOG"/>
    <x v="5"/>
    <n v="1713.1349862258955"/>
    <n v="0"/>
    <n v="1713.1349862258955"/>
    <s v="Mecânica"/>
    <s v="Mecânica - Betim"/>
    <d v="2026-04-09T00:00:00"/>
    <d v="2026-04-15T00:00:00"/>
    <s v="INICIO CURTO PRAZO"/>
    <s v="Obra"/>
  </r>
  <r>
    <s v="SS-98/2026"/>
    <s v="REF0143952_108-FV-0084 /FT-084 CORIOLIS (INSTRUMENTAÇÃO)"/>
    <s v="GOG"/>
    <x v="5"/>
    <n v="20303.559228650138"/>
    <n v="0"/>
    <n v="20303.559228650138"/>
    <s v="Elétrica"/>
    <s v="Elétrica e Instrumentação- Betim"/>
    <d v="2026-03-30T00:00:00"/>
    <d v="2026-04-23T00:00:00"/>
    <s v="INICIO ATRASADO"/>
    <s v="Obra"/>
  </r>
  <r>
    <s v="SS-99/2026"/>
    <s v="REF0143952_108-FV-0084 /FT-084 CORIOLIS (AUTOMAÇÃO)"/>
    <s v="GOG"/>
    <x v="7"/>
    <n v="621.27823691460048"/>
    <n v="0"/>
    <n v="621.27823691460048"/>
    <s v="Elétrica"/>
    <s v="Elétrica e Instrumentação- Betim"/>
    <d v="2026-03-30T00:00:00"/>
    <d v="2026-04-23T00:00:00"/>
    <s v="INICIO ATRASADO"/>
    <s v="Obra"/>
  </r>
  <r>
    <s v="SS-101/2026"/>
    <s v="CONEXÃO FISICA SCADA UFV - SWITCH RAI CIC (400-PN-58)"/>
    <s v="GOG"/>
    <x v="7"/>
    <n v="3950.7548209366391"/>
    <n v="0"/>
    <n v="3950.7548209366391"/>
    <s v="Elétrica"/>
    <s v="Elétrica e Instrumentação- Betim"/>
    <d v="2026-03-30T00:00:00"/>
    <d v="2026-04-09T00:00:00"/>
    <s v="INICIO ATRASADO"/>
    <s v="Obra"/>
  </r>
  <r>
    <s v="SS-102/2026"/>
    <s v="REF0186396 - Sondagem GPR (Georadar) - IN-5250-24-092: AMPLIAÇÃO DO PT-200 E MODERNIZAÇÃO DE EQUIPAMENTOS"/>
    <s v="GOG"/>
    <x v="6"/>
    <n v="17488.022038567491"/>
    <n v="0"/>
    <n v="17488.022038567491"/>
    <s v="Civil"/>
    <s v="Civil (projeto e manutenção civil) - Betim"/>
    <d v="2026-04-13T00:00:00"/>
    <d v="2026-04-22T00:00:00"/>
    <s v="INICIO CURTO PRAZO"/>
    <s v="Sondagem"/>
  </r>
  <r>
    <s v="SS-103/2026"/>
    <s v="PMBC MIGRAÇÃO DAS BOMBAS DA U-0047 PARA O SDCD"/>
    <s v="GOG"/>
    <x v="6"/>
    <n v="40895.68044077135"/>
    <n v="0"/>
    <n v="40895.68044077135"/>
    <s v="Elétrica"/>
    <s v="Elétrica e Instrumentação- Betim"/>
    <d v="2026-04-20T00:00:00"/>
    <d v="2026-06-19T00:00:00"/>
    <s v="INICIO CURTO PRAZO"/>
    <s v="Obra"/>
  </r>
  <r>
    <s v="SS-106/2026"/>
    <s v="LIMPEZA DA ÁREA MA/PM"/>
    <s v="GOG"/>
    <x v="7"/>
    <n v="360228.3966942149"/>
    <n v="0"/>
    <n v="360228.3966942149"/>
    <s v="Civil"/>
    <s v="Civil (projeto e manutenção civil) - Betim"/>
    <s v="N/A"/>
    <s v="N/A"/>
    <s v="Projeto"/>
    <s v="Apoio"/>
  </r>
  <r>
    <s v="SS-108/2026"/>
    <s v="IN - 5250-24-085 - Phase-Out do Diesel S500 - Mudança 4.1 - Aquisição de Bens (Tubovias)"/>
    <s v="IN"/>
    <x v="7"/>
    <n v="682219.07232900977"/>
    <n v="0"/>
    <n v="682219.07232900977"/>
    <s v="Materiais"/>
    <s v="Receber Materiais - Regap-Betim"/>
    <s v="N/A"/>
    <s v="N/A"/>
    <s v="MATERIAIS"/>
    <s v="Material"/>
  </r>
  <r>
    <s v="SS-109/2026"/>
    <s v="IN - 5250-24-085 - Phase-Out do Diesel S500 - Mudança 4.1 - Fabricação (Tubovias)"/>
    <s v="IN"/>
    <x v="7"/>
    <n v="912230.47933884303"/>
    <n v="0"/>
    <n v="912230.47933884303"/>
    <s v="Mecânica"/>
    <s v="Mecânica - Betim"/>
    <d v="2026-04-20T00:00:00"/>
    <d v="2026-06-16T00:00:00"/>
    <s v="INICIO CURTO PRAZO"/>
    <s v="Obra"/>
  </r>
  <r>
    <s v="SS-110/2026"/>
    <s v="IN - 5250-24-085 - Phase-Out do Diesel S500 - Mudança 4.1 - Montagem (Tubovias)"/>
    <s v="IN"/>
    <x v="6"/>
    <n v="1158558.4242424243"/>
    <n v="0"/>
    <n v="1158558.4242424243"/>
    <s v="Mecânica"/>
    <s v="Mecânica - Betim"/>
    <d v="2026-03-27T00:00:00"/>
    <d v="2026-06-15T00:00:00"/>
    <s v="INICIO ATRASADO"/>
    <s v="Obra"/>
  </r>
  <r>
    <s v="SS-123/2026"/>
    <s v="IN-5250-23-017 - TERRAPLANAGEM U-623"/>
    <s v="IN"/>
    <x v="2"/>
    <n v="0"/>
    <n v="0"/>
    <n v="0"/>
    <s v="Civil"/>
    <s v="Civil (projeto e manutenção civil) - Betim"/>
    <s v="N/A"/>
    <s v="N/A"/>
    <s v="EM PLANEJAMENTO"/>
    <s v="Fase de planejamento"/>
  </r>
  <r>
    <s v="SS-124/2026"/>
    <s v="121-F-01 ABC - DEMOLIÇÃO BASE DA GRUA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125/2026"/>
    <s v="U-110 - DEMOLIÇÃO FUNDAÇÃO - 110-R-01"/>
    <s v="GOG"/>
    <x v="6"/>
    <n v="4246.4242424242429"/>
    <n v="0"/>
    <n v="4246.4242424242429"/>
    <s v="Civil"/>
    <s v="Civil (projeto e manutenção civil) - Betim"/>
    <d v="2026-04-27T00:00:00"/>
    <d v="2026-11-09T00:00:00"/>
    <s v="INICIO CURTO PRAZO"/>
    <s v="Obra"/>
  </r>
  <r>
    <s v="SS-126/2026"/>
    <s v="U-110 - CONSTRUÇÃO FUNDAÇÃO - 110-R-01"/>
    <s v="GOG"/>
    <x v="6"/>
    <n v="282369.65289256198"/>
    <n v="0"/>
    <n v="282369.65289256198"/>
    <s v="Civil"/>
    <s v="Civil (projeto e manutenção civil) - Betim"/>
    <d v="2026-04-27T00:00:00"/>
    <d v="2026-11-09T00:00:00"/>
    <s v="INICIO CURTO PRAZO"/>
    <s v="Obra"/>
  </r>
  <r>
    <s v="SS-128/2026"/>
    <s v="FORNECIMENTO DE BENS - ALIMENTAÇÕES PROVISÓRIAS TAF - SDCD UDAV II"/>
    <s v="GOG"/>
    <x v="2"/>
    <n v="0"/>
    <n v="0"/>
    <n v="0"/>
    <s v="Elétrica"/>
    <s v="Elétrica e Instrumentação- Betim"/>
    <s v="N/A"/>
    <s v="N/A"/>
    <s v="MATERIAIS"/>
    <s v="Material"/>
  </r>
  <r>
    <s v="SS-130/2026"/>
    <s v="U-623 - RELOCAÇÃO TUBULAÇÃO SELAGEM - FABRICAÇÃO"/>
    <s v="GOG"/>
    <x v="2"/>
    <n v="0"/>
    <n v="0"/>
    <n v="0"/>
    <s v="Mecânica"/>
    <s v="Mecânica - Betim"/>
    <s v="N/A"/>
    <s v="N/A"/>
    <s v="EM PLANEJAMENTO"/>
    <s v="Fase de planejamento"/>
  </r>
  <r>
    <s v="SS-131/2026"/>
    <s v="U-623 - RELOCAÇÃO TUBULAÇÃO SELAGEM - MONTAGEM"/>
    <s v="GOG"/>
    <x v="2"/>
    <n v="0"/>
    <n v="0"/>
    <n v="0"/>
    <s v="Mecânica"/>
    <s v="Mecânica - Betim"/>
    <s v="N/A"/>
    <s v="N/A"/>
    <s v="EM PLANEJAMENTO"/>
    <s v="Fase de planejamento"/>
  </r>
  <r>
    <s v="SS-132/2026"/>
    <s v="U-623 - RELOCAÇÃO TUBULAÇÃO RACE - FABRICAÇÃO"/>
    <s v="GOG"/>
    <x v="2"/>
    <n v="0"/>
    <n v="0"/>
    <n v="0"/>
    <s v="Mecânica"/>
    <s v="Mecânica - Betim"/>
    <s v="N/A"/>
    <s v="N/A"/>
    <s v="EM PLANEJAMENTO"/>
    <s v="Fase de planejamento"/>
  </r>
  <r>
    <s v="SS-133/2026"/>
    <s v="U-623 - RELOCAÇÃO TUBULAÇÃO RACE - MONTAGEM"/>
    <s v="GOG"/>
    <x v="2"/>
    <n v="0"/>
    <n v="0"/>
    <n v="0"/>
    <s v="Mecânica"/>
    <s v="Mecânica - Betim"/>
    <s v="N/A"/>
    <s v="N/A"/>
    <s v="EM PLANEJAMENTO"/>
    <s v="Fase de planejamento"/>
  </r>
  <r>
    <s v="SS-134/2026"/>
    <s v="U-623 - RELOCAÇÃO TUBULAÇÕES - CIVIL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135/2026"/>
    <s v="UN-623 - PONTILHÃO (AVENIDA &quot;D&quot;) - CIVIL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136/2026"/>
    <s v="UN-623 - CASA DE QUÍMICOS - CIVIL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137/2026"/>
    <s v="UN-623 - CASA DE QUÍMICOS - ESTRUTURA METÁLICA"/>
    <s v="GOG"/>
    <x v="2"/>
    <n v="0"/>
    <n v="0"/>
    <n v="0"/>
    <s v="Mecânica"/>
    <s v="Mecânica - Betim"/>
    <s v="N/A"/>
    <s v="N/A"/>
    <s v="EM PLANEJAMENTO"/>
    <s v="Fase de planejamento"/>
  </r>
  <r>
    <s v="SS-138/2026"/>
    <s v="UN-623 - CASA DE QUÍMICOS - INSTALAÇÕES"/>
    <s v="GOG"/>
    <x v="2"/>
    <n v="0"/>
    <n v="0"/>
    <n v="0"/>
    <s v="Civil"/>
    <s v="Civil (projeto e manutenção civil) - Betim"/>
    <s v="N/A"/>
    <s v="N/A"/>
    <s v="EM PLANEJAMENTO"/>
    <s v="Fase de planejamento"/>
  </r>
  <r>
    <s v="SS-139/2026"/>
    <s v="UN-623 - CASA DE QUÍMICOS - FORNECIMENTO DE BENS"/>
    <s v="GOG"/>
    <x v="2"/>
    <n v="0"/>
    <n v="0"/>
    <n v="0"/>
    <s v="Materiais"/>
    <s v="Receber Materiais - Regap-Betim"/>
    <s v="N/A"/>
    <s v="N/A"/>
    <s v="MATERIAIS"/>
    <s v="Materia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SS-9/2025"/>
    <s v="IN - 5250-19-005 - PT-123 - MODERNIZAÇÃO DA SUBESTAÇÃO"/>
    <x v="0"/>
    <x v="0"/>
    <n v="859148.28650137736"/>
    <n v="452968.61832533678"/>
    <n v="406179.66817604058"/>
    <x v="0"/>
    <s v="Elétrica e Instrumentação- Betim"/>
    <d v="2025-05-14T00:00:00"/>
    <d v="2026-02-23T00:00:00"/>
    <x v="0"/>
    <s v="Obra"/>
  </r>
  <r>
    <s v="SS-60/2025"/>
    <s v="IN - 5250-20-001 - ETDI - DESARENADOR"/>
    <x v="0"/>
    <x v="1"/>
    <n v="603497.70798898081"/>
    <n v="452896.23209333606"/>
    <n v="150601.47589564475"/>
    <x v="1"/>
    <s v="Civil (projeto e manutenção civil) - Betim"/>
    <d v="2025-06-26T00:00:00"/>
    <d v="2026-05-06T00:00:00"/>
    <x v="1"/>
    <s v="Obra"/>
  </r>
  <r>
    <s v="SS-61/2025"/>
    <s v="IN - 5250-20-001 - ETDI - REDE CONTAMINADA"/>
    <x v="0"/>
    <x v="1"/>
    <n v="3155680.4848484849"/>
    <n v="2561590.5088825133"/>
    <n v="594089.97596597159"/>
    <x v="1"/>
    <s v="Civil (projeto e manutenção civil) - Betim"/>
    <d v="2025-08-07T00:00:00"/>
    <d v="2026-04-07T00:00:00"/>
    <x v="1"/>
    <s v="Obra"/>
  </r>
  <r>
    <s v="SS-62/2025"/>
    <s v="IN - 5250-20-001 - ETDI - FRENTE 01 - BOMBAS DO PPI - ELÉTRICA"/>
    <x v="0"/>
    <x v="1"/>
    <n v="1008115.7906336088"/>
    <n v="766312.69114358549"/>
    <n v="241803.09949002333"/>
    <x v="0"/>
    <s v="Elétrica e Instrumentação- Betim"/>
    <d v="2025-07-07T00:00:00"/>
    <d v="2026-06-02T00:00:00"/>
    <x v="1"/>
    <s v="Obra"/>
  </r>
  <r>
    <s v="SS-73/2025"/>
    <s v="IN - 5250-20-001 - ETDI - BOMBAS DO PPI - CIVIL"/>
    <x v="0"/>
    <x v="1"/>
    <n v="196081.9173553719"/>
    <n v="11964.947918453694"/>
    <n v="184116.96943691821"/>
    <x v="1"/>
    <s v="Civil (projeto e manutenção civil) - Betim"/>
    <d v="2026-01-16T00:00:00"/>
    <d v="2026-05-07T00:00:00"/>
    <x v="1"/>
    <s v="Obra"/>
  </r>
  <r>
    <s v="SS-74/2025"/>
    <s v="IN - 5250-20-001 - ETDI - CONTAMINADA FASE 2 - CIVIL"/>
    <x v="0"/>
    <x v="0"/>
    <n v="5719499.3278236911"/>
    <n v="4060584.5485677347"/>
    <n v="1658914.7792559564"/>
    <x v="1"/>
    <s v="Civil (projeto e manutenção civil) - Betim"/>
    <d v="2025-07-31T00:00:00"/>
    <d v="2026-06-24T00:00:00"/>
    <x v="1"/>
    <s v="Obra"/>
  </r>
  <r>
    <s v="SS-76/2025"/>
    <s v="IN-5250-23-014 - Novo Laboratório de Integridade da IE"/>
    <x v="0"/>
    <x v="1"/>
    <n v="1741680.2975206613"/>
    <n v="477287.58382279123"/>
    <n v="1264392.71369787"/>
    <x v="1"/>
    <s v="Civil (projeto e manutenção civil) - Betim"/>
    <d v="2025-07-09T00:00:00"/>
    <d v="2025-12-26T00:00:00"/>
    <x v="2"/>
    <s v="Em replanejamento"/>
  </r>
  <r>
    <s v="SS-93/2025"/>
    <s v="Reforço do Muro da APAE"/>
    <x v="1"/>
    <x v="2"/>
    <n v="0"/>
    <n v="0"/>
    <n v="0"/>
    <x v="1"/>
    <s v="CIVIL (Projetos e Monit e Manutenção de Barragem) - Ibirité"/>
    <s v="N/A"/>
    <s v="N/A"/>
    <x v="3"/>
    <s v="Fase de planejamento"/>
  </r>
  <r>
    <s v="SS-94/2025"/>
    <s v="IN - 5250-20-001 - ETDI - BOMBAS DO PPI - MECANICA"/>
    <x v="0"/>
    <x v="1"/>
    <n v="566930.17079889809"/>
    <n v="84235.629879408487"/>
    <n v="482694.54091948958"/>
    <x v="2"/>
    <s v="Mecânica - Betim"/>
    <d v="2025-07-21T00:00:00"/>
    <d v="2026-06-17T00:00:00"/>
    <x v="1"/>
    <s v="Obra"/>
  </r>
  <r>
    <s v="SS-96/2025"/>
    <s v="IN - 5250-25-010 - Melhoria acesso bloco K 27-TQ-01 C e D - Montagem"/>
    <x v="0"/>
    <x v="1"/>
    <n v="1066695.0853994491"/>
    <n v="385375.64547348116"/>
    <n v="681319.43992596795"/>
    <x v="2"/>
    <s v="Mecânica - Betim"/>
    <d v="2025-09-16T00:00:00"/>
    <d v="2026-06-09T00:00:00"/>
    <x v="2"/>
    <s v="Em replanejamento"/>
  </r>
  <r>
    <s v="SS-97/2025"/>
    <s v="IN - 5250-25-011 - Melhoria acesso bloco P 27-TQ-01 K e M - Montagem"/>
    <x v="0"/>
    <x v="1"/>
    <n v="1384845.9724517907"/>
    <n v="361658.90373106406"/>
    <n v="1023187.0687207266"/>
    <x v="2"/>
    <s v="Mecânica - Betim"/>
    <d v="2025-12-01T00:00:00"/>
    <d v="2026-03-11T00:00:00"/>
    <x v="2"/>
    <s v="Em replanejamento"/>
  </r>
  <r>
    <s v="SS-98/2025"/>
    <s v="IN - 5250-25-012 - Melhoria acesso bloco P 27-TQ-01 L e N - Montagem"/>
    <x v="0"/>
    <x v="1"/>
    <n v="1281802.567493113"/>
    <n v="485315.66309255949"/>
    <n v="796486.90440055355"/>
    <x v="2"/>
    <s v="Mecânica - Betim"/>
    <d v="2025-09-16T00:00:00"/>
    <d v="2026-05-25T00:00:00"/>
    <x v="2"/>
    <s v="Em replanejamento"/>
  </r>
  <r>
    <s v="SS-100/2025"/>
    <s v="IN - 5250-24-051 - Melhoria do Acesso aos TQ´s de Escuros 27-TQ-116-A/B - Montagem"/>
    <x v="0"/>
    <x v="1"/>
    <n v="596468.35261707997"/>
    <n v="266327.83323576581"/>
    <n v="330140.51938131417"/>
    <x v="2"/>
    <s v="Mecânica - Betim"/>
    <d v="2025-12-04T00:00:00"/>
    <d v="2026-05-22T00:00:00"/>
    <x v="2"/>
    <s v="Em replanejamento"/>
  </r>
  <r>
    <s v="SS-116/2025"/>
    <s v="FORNECIMENTO DE CONTAINER - OBRA ED"/>
    <x v="1"/>
    <x v="1"/>
    <n v="49431.603305785124"/>
    <n v="42984"/>
    <n v="6447.6033057851237"/>
    <x v="1"/>
    <s v="Civil (projeto e manutenção civil) - Betim"/>
    <s v="N/A"/>
    <s v="N/A"/>
    <x v="4"/>
    <s v="Rotina"/>
  </r>
  <r>
    <s v="SS-117/2025"/>
    <s v="Adequação Escadas de Marinheiro - Projeto"/>
    <x v="1"/>
    <x v="1"/>
    <n v="197487.85674931132"/>
    <n v="89701.095000000001"/>
    <n v="107786.76174931132"/>
    <x v="2"/>
    <s v="Mecânica - Betim"/>
    <s v="N/A"/>
    <s v="N/A"/>
    <x v="5"/>
    <s v="Projeto "/>
  </r>
  <r>
    <s v="SS-132/2025"/>
    <s v="Envelope Elétrico GPI"/>
    <x v="1"/>
    <x v="3"/>
    <n v="1202585.3994490358"/>
    <n v="224742.04076553116"/>
    <n v="977843.35868350463"/>
    <x v="0"/>
    <s v="Elétrica e Instrumentação- Betim"/>
    <d v="2026-01-05T00:00:00"/>
    <d v="2026-08-03T00:00:00"/>
    <x v="2"/>
    <s v="Em replanejamento"/>
  </r>
  <r>
    <s v="SS-133/2025"/>
    <s v="IN - 5250-24-085 - Phase-Out do Diesel S500 - Projeto"/>
    <x v="0"/>
    <x v="1"/>
    <n v="486217.03581267223"/>
    <n v="225345.76937635764"/>
    <n v="260871.26643631459"/>
    <x v="2"/>
    <s v="Mecânica - Betim"/>
    <s v="N/A"/>
    <s v="N/A"/>
    <x v="5"/>
    <s v="Projeto "/>
  </r>
  <r>
    <s v="SS-137/2025"/>
    <s v="FORNECIMENTO DE CONTAINER - OBRA SMS E GPI - Bens"/>
    <x v="1"/>
    <x v="0"/>
    <n v="209895.27040324415"/>
    <n v="0"/>
    <n v="209895.27040324415"/>
    <x v="3"/>
    <s v="Receber Materiais - Regap-Betim"/>
    <s v="N/A"/>
    <s v="N/A"/>
    <x v="6"/>
    <s v="Material"/>
  </r>
  <r>
    <s v="SS-141/2025"/>
    <s v="IN - 5250-20-001 - ETDI - Bens"/>
    <x v="0"/>
    <x v="1"/>
    <n v="412823.77243720635"/>
    <n v="406931.24800000002"/>
    <n v="5892.5244372063316"/>
    <x v="3"/>
    <s v="Receber Materiais - Regap-Betim"/>
    <s v="N/A"/>
    <s v="N/A"/>
    <x v="6"/>
    <s v="Material"/>
  </r>
  <r>
    <s v="SS-145/2025"/>
    <s v="IN - 5250-24-074 - Adequações para Recebimento de C5+ - Civil"/>
    <x v="0"/>
    <x v="1"/>
    <n v="435677.23415977968"/>
    <n v="19140.167802816421"/>
    <n v="416537.06635696325"/>
    <x v="1"/>
    <s v="Civil (projeto e manutenção civil) - Betim"/>
    <d v="2025-12-09T00:00:00"/>
    <d v="2026-10-13T00:00:00"/>
    <x v="2"/>
    <s v="Em replanejamento"/>
  </r>
  <r>
    <s v="SS-146/2025"/>
    <s v="IN - 5250-24-074 - Adequações para Recebimento de C5+ - Mecânica"/>
    <x v="0"/>
    <x v="1"/>
    <n v="448453.88429752068"/>
    <n v="126316.56074429971"/>
    <n v="322137.32355322095"/>
    <x v="2"/>
    <s v="Mecânica - Betim"/>
    <d v="2025-11-26T00:00:00"/>
    <d v="2026-09-24T00:00:00"/>
    <x v="2"/>
    <s v="Em replanejamento"/>
  </r>
  <r>
    <s v="SS-147/2025"/>
    <s v="IN - 5250-24-074 - Adequações para Recebimento de C5+ - Elétrica"/>
    <x v="0"/>
    <x v="0"/>
    <n v="122509.69696969698"/>
    <n v="39133.582051871999"/>
    <n v="83376.114917824976"/>
    <x v="0"/>
    <s v="Elétrica e Instrumentação- Betim"/>
    <d v="2026-01-06T00:00:00"/>
    <d v="2026-11-03T00:00:00"/>
    <x v="2"/>
    <s v="Em replanejamento"/>
  </r>
  <r>
    <s v="SS-148/2025"/>
    <s v="IN - 5250-24-075 - Substituição PLC ALTUS CP4"/>
    <x v="0"/>
    <x v="1"/>
    <n v="383241.79614325071"/>
    <n v="51386.964548665848"/>
    <n v="331854.83159458486"/>
    <x v="0"/>
    <s v="Elétrica e Instrumentação- Betim"/>
    <d v="2025-12-08T00:00:00"/>
    <d v="2026-05-14T00:00:00"/>
    <x v="1"/>
    <s v="Obra"/>
  </r>
  <r>
    <s v="SS-166/2025"/>
    <s v="IN - 5250-25-010 - Melhoria acesso bloco K 27-TQ-01 E - Montagem"/>
    <x v="0"/>
    <x v="1"/>
    <n v="436179.2837465565"/>
    <n v="22706.233700189776"/>
    <n v="413473.0500463667"/>
    <x v="2"/>
    <s v="Mecânica - Betim"/>
    <d v="2025-12-08T00:00:00"/>
    <d v="2026-05-13T00:00:00"/>
    <x v="2"/>
    <s v="Em replanejamento"/>
  </r>
  <r>
    <s v="SS-171/2025"/>
    <s v="IN - 5250-24-051 - Melhoria do Acesso aos TQ´s de Escuros 27-TQ-116-C/E - Montagem"/>
    <x v="0"/>
    <x v="1"/>
    <n v="572189.41046831955"/>
    <n v="237569.32216715225"/>
    <n v="334620.0883011673"/>
    <x v="2"/>
    <s v="Mecânica - Betim"/>
    <d v="2025-12-04T00:00:00"/>
    <d v="2026-05-22T00:00:00"/>
    <x v="2"/>
    <s v="Em replanejamento"/>
  </r>
  <r>
    <s v="SS-172/2025"/>
    <s v="IN - 5250-24-051 - Melhoria do Acesso aos TQ´s de Escuros 27-TQ-116-D/F - Montagem"/>
    <x v="0"/>
    <x v="1"/>
    <n v="590486.97520661168"/>
    <n v="64243.648617251558"/>
    <n v="526243.32658936013"/>
    <x v="2"/>
    <s v="Mecânica - Betim"/>
    <d v="2025-12-04T00:00:00"/>
    <d v="2026-05-22T00:00:00"/>
    <x v="2"/>
    <s v="Em replanejamento"/>
  </r>
  <r>
    <s v="SS-190/2025"/>
    <s v="IN-5250-25-100 - ELÉTRICA - ADAPTAÇÕES PARA VENDA DIRETA DE DIESEL"/>
    <x v="0"/>
    <x v="1"/>
    <n v="31096.286501377414"/>
    <n v="10830.329174548619"/>
    <n v="20265.957326828793"/>
    <x v="0"/>
    <s v="Elétrica e Instrumentação- Betim"/>
    <d v="2026-03-16T00:00:00"/>
    <d v="2026-05-19T00:00:00"/>
    <x v="1"/>
    <s v="Obra"/>
  </r>
  <r>
    <s v="SS-195/2025"/>
    <s v="Fornecimento de Bens - SS-31/2025"/>
    <x v="1"/>
    <x v="1"/>
    <n v="8757.7936690779788"/>
    <n v="0"/>
    <n v="8757.7936690779788"/>
    <x v="3"/>
    <s v="Receber Materiais - Regap-Betim"/>
    <s v="N/A"/>
    <s v="N/A"/>
    <x v="6"/>
    <s v="Material"/>
  </r>
  <r>
    <s v="SS-196/2025"/>
    <s v="Fornecimento de Bens - SS-132/2025"/>
    <x v="1"/>
    <x v="1"/>
    <n v="481052.96045569761"/>
    <n v="84490.57"/>
    <n v="396562.3904556976"/>
    <x v="3"/>
    <s v="Receber Materiais - Regap-Betim"/>
    <s v="N/A"/>
    <s v="N/A"/>
    <x v="6"/>
    <s v="Material"/>
  </r>
  <r>
    <s v="SS-198/2025"/>
    <s v="IN - 5250-24-074 - Adequações para Recebimento de C5+ - Bens"/>
    <x v="0"/>
    <x v="1"/>
    <n v="343364.37686892424"/>
    <n v="27585.7"/>
    <n v="315778.67686892423"/>
    <x v="3"/>
    <s v="Receber Materiais - Regap-Betim"/>
    <s v="N/A"/>
    <s v="N/A"/>
    <x v="6"/>
    <s v="Material"/>
  </r>
  <r>
    <s v="SS-199/2025"/>
    <s v="IN - 5250-19-005 - PT-123 - MODERNIZAÇÃO DA SUBESTAÇÃO - Bens"/>
    <x v="0"/>
    <x v="1"/>
    <n v="33203.95212216286"/>
    <n v="0"/>
    <n v="33203.95212216286"/>
    <x v="3"/>
    <s v="Receber Materiais - Regap-Betim"/>
    <s v="N/A"/>
    <s v="N/A"/>
    <x v="6"/>
    <s v="Material"/>
  </r>
  <r>
    <s v="SS-228/2025"/>
    <s v="IN - 5250-17-007 - MODERNIZAÇÃO TURBO EXPANSOR 103-TG-01 - ELÉTRICA"/>
    <x v="0"/>
    <x v="4"/>
    <n v="0"/>
    <n v="0"/>
    <n v="0"/>
    <x v="0"/>
    <s v="Elétrica e Instrumentação- Betim"/>
    <d v="2026-04-01T00:00:00"/>
    <d v="2026-06-15T00:00:00"/>
    <x v="2"/>
    <s v="Em replanejamento"/>
  </r>
  <r>
    <s v="SS-233/2025"/>
    <s v="Fornecimento de Bens - SS-62/2025"/>
    <x v="1"/>
    <x v="4"/>
    <n v="7506.7534865941661"/>
    <n v="0"/>
    <n v="7506.7534865941661"/>
    <x v="3"/>
    <s v="Receber Materiais - Regap-Betim"/>
    <s v="N/A"/>
    <s v="N/A"/>
    <x v="6"/>
    <s v="Material"/>
  </r>
  <r>
    <s v="SS-235/2025"/>
    <s v="Apoio ao S2"/>
    <x v="1"/>
    <x v="1"/>
    <n v="205834.34710743805"/>
    <n v="97220.638294993638"/>
    <n v="108613.70881244441"/>
    <x v="0"/>
    <s v="Elétrica e Instrumentação- Betim"/>
    <s v="N/A"/>
    <s v="N/A"/>
    <x v="5"/>
    <s v="Apoio"/>
  </r>
  <r>
    <s v="SS-236/2025"/>
    <s v="Apoio ao GPI"/>
    <x v="1"/>
    <x v="1"/>
    <n v="124690.50137741047"/>
    <n v="33125.363052690693"/>
    <n v="91565.138324719781"/>
    <x v="0"/>
    <s v="Elétrica e Instrumentação- Betim"/>
    <s v="N/A"/>
    <s v="N/A"/>
    <x v="5"/>
    <s v="Apoio"/>
  </r>
  <r>
    <s v="SS-1/2026"/>
    <s v="Adequação Escadas de Marinheiro - Execução"/>
    <x v="1"/>
    <x v="1"/>
    <n v="47248.804407713498"/>
    <n v="22307.649515600515"/>
    <n v="24941.154892112983"/>
    <x v="1"/>
    <s v="Civil (projeto e manutenção civil) - Betim"/>
    <d v="2026-01-12T00:00:00"/>
    <d v="2026-04-01T00:00:00"/>
    <x v="1"/>
    <s v="Obra"/>
  </r>
  <r>
    <s v="SS-2/2026"/>
    <s v="PT-200 - Escavação Manual para Pré Furos e Fundação"/>
    <x v="1"/>
    <x v="1"/>
    <n v="128718.2699724518"/>
    <n v="15871.783867620012"/>
    <n v="112846.4861048318"/>
    <x v="1"/>
    <s v="Civil (projeto e manutenção civil) - Betim"/>
    <d v="2026-02-05T00:00:00"/>
    <d v="2026-03-31T00:00:00"/>
    <x v="1"/>
    <s v="Obra"/>
  </r>
  <r>
    <s v="SS-3/2026"/>
    <s v="Escaneamento a laser da Unidade U-121"/>
    <x v="1"/>
    <x v="1"/>
    <n v="664369.86225895316"/>
    <n v="351728.05972811289"/>
    <n v="312641.80253084027"/>
    <x v="1"/>
    <s v="Civil (projeto e manutenção civil) - Betim"/>
    <d v="2026-02-05T00:00:00"/>
    <d v="2026-04-15T00:00:00"/>
    <x v="1"/>
    <s v="Obra"/>
  </r>
  <r>
    <s v="SS-4/2026"/>
    <s v="IN-5250-24-013 - ALIMENTAÇÕES PROVISÓRIAS TAF - SDCD CCF-I"/>
    <x v="0"/>
    <x v="1"/>
    <n v="52114.887052341604"/>
    <n v="42712.924740598879"/>
    <n v="9401.9623117427254"/>
    <x v="0"/>
    <s v="Elétrica e Instrumentação- Betim"/>
    <d v="2026-02-03T00:00:00"/>
    <d v="2026-06-26T00:00:00"/>
    <x v="1"/>
    <s v="Obra"/>
  </r>
  <r>
    <s v="SS-5/2026"/>
    <s v="Sondagem Revamp"/>
    <x v="1"/>
    <x v="1"/>
    <n v="82380.000000000015"/>
    <n v="52577.91451968706"/>
    <n v="29802.085480312955"/>
    <x v="1"/>
    <s v="Civil (projeto e manutenção civil) - Betim"/>
    <d v="2026-01-30T00:00:00"/>
    <d v="2026-02-27T00:00:00"/>
    <x v="1"/>
    <s v="Sondagem"/>
  </r>
  <r>
    <s v="SS-8/2026"/>
    <s v="Adequação Escadas de Marinheiro - Execução UDAV 01/02"/>
    <x v="1"/>
    <x v="1"/>
    <n v="126086.98622589532"/>
    <n v="0"/>
    <n v="126086.98622589532"/>
    <x v="1"/>
    <s v="Civil (projeto e manutenção civil) - Betim"/>
    <d v="2026-04-01T00:00:00"/>
    <d v="2026-08-20T00:00:00"/>
    <x v="1"/>
    <s v="Obra"/>
  </r>
  <r>
    <s v="SS-9/2026"/>
    <s v="Adequação Escadas de Marinheiro - Fornecimento de Bens"/>
    <x v="1"/>
    <x v="1"/>
    <n v="18400.34976642461"/>
    <n v="0"/>
    <n v="18400.34976642461"/>
    <x v="3"/>
    <s v="Receber Materiais - Regap-Betim"/>
    <s v="N/A"/>
    <s v="N/A"/>
    <x v="6"/>
    <s v="Material"/>
  </r>
  <r>
    <s v="SS-14/2026"/>
    <s v="PMBC - 5250-26-100 - ALTERAÇÕES - HAZOP DA U-001 E U-101"/>
    <x v="1"/>
    <x v="5"/>
    <n v="19164.881542699728"/>
    <n v="0"/>
    <n v="19164.881542699728"/>
    <x v="2"/>
    <s v="Mecânica - Betim"/>
    <d v="2026-04-08T00:00:00"/>
    <d v="2026-06-12T00:00:00"/>
    <x v="7"/>
    <s v="Obra"/>
  </r>
  <r>
    <s v="SS-16/2026"/>
    <s v="PMBC - 5250-26-100 - HAZOP DA U-001 E U-101 - BENS"/>
    <x v="1"/>
    <x v="5"/>
    <n v="16989.469673390784"/>
    <n v="0"/>
    <n v="16989.469673390784"/>
    <x v="3"/>
    <s v="Receber Materiais - Regap-Betim"/>
    <s v="N/A"/>
    <s v="N/A"/>
    <x v="6"/>
    <s v="Material"/>
  </r>
  <r>
    <s v="SS-36/2026"/>
    <s v="Manutenção Civil - Linha do Flare na Av. 8"/>
    <x v="1"/>
    <x v="1"/>
    <n v="577815.92286501371"/>
    <n v="145521.40401825099"/>
    <n v="432294.51884676272"/>
    <x v="1"/>
    <s v="Civil (projeto e manutenção civil) - Betim"/>
    <d v="2026-02-05T00:00:00"/>
    <d v="2026-07-01T00:00:00"/>
    <x v="1"/>
    <s v="Obra"/>
  </r>
  <r>
    <s v="SS-38/2026"/>
    <s v="IN-5250-24-092 - PT-200 - Estrutura Metálica - Fornecimento de Bens"/>
    <x v="0"/>
    <x v="5"/>
    <n v="3219796.9925417085"/>
    <n v="0"/>
    <n v="3219796.9925417085"/>
    <x v="3"/>
    <s v="Receber Materiais - Regap-Betim"/>
    <s v="N/A"/>
    <s v="N/A"/>
    <x v="6"/>
    <s v="Material"/>
  </r>
  <r>
    <s v="SS-39/2026"/>
    <s v="IN-5250-24-092 - PT-200 - Estrutura Metálica - Fabricação"/>
    <x v="0"/>
    <x v="5"/>
    <n v="7296261.8732782379"/>
    <n v="0"/>
    <n v="7296261.8732782379"/>
    <x v="2"/>
    <s v="Mecânica - Betim"/>
    <d v="2026-03-16T00:00:00"/>
    <d v="2026-07-28T00:00:00"/>
    <x v="1"/>
    <s v="Obra"/>
  </r>
  <r>
    <s v="SS-40/2026"/>
    <s v="IN-5250-24-092 - PT-200 - Estrutura Metálica - Montagem"/>
    <x v="0"/>
    <x v="6"/>
    <n v="5251157.1790633602"/>
    <n v="0"/>
    <n v="5251157.1790633602"/>
    <x v="2"/>
    <s v="Mecânica - Betim"/>
    <d v="2026-03-16T00:00:00"/>
    <d v="2026-07-28T00:00:00"/>
    <x v="2"/>
    <s v="Em replanejamento"/>
  </r>
  <r>
    <s v="SS-41/2026"/>
    <s v="IN-5250-24-092 - PT-200 - Civil e Fundações"/>
    <x v="0"/>
    <x v="6"/>
    <n v="1382058.9752066117"/>
    <n v="0"/>
    <n v="1382058.9752066117"/>
    <x v="1"/>
    <s v="Civil (projeto e manutenção civil) - Betim"/>
    <d v="2026-04-08T00:00:00"/>
    <d v="2026-09-11T00:00:00"/>
    <x v="7"/>
    <s v="Obra"/>
  </r>
  <r>
    <s v="SS-42/2026"/>
    <s v="IN-5250-24-092 - PT-200 - Civil e Arquitetura"/>
    <x v="0"/>
    <x v="6"/>
    <n v="581230.44628099177"/>
    <n v="0"/>
    <n v="581230.44628099177"/>
    <x v="1"/>
    <s v="Civil (projeto e manutenção civil) - Betim"/>
    <d v="2026-08-03T00:00:00"/>
    <d v="2026-12-29T00:00:00"/>
    <x v="8"/>
    <s v="Obra"/>
  </r>
  <r>
    <s v="SS-43/2026"/>
    <s v="IN - 5250-24-085 - Phase-Out do Diesel S500 - Mudança 2.1 - Aquisição de Bens (Tubovias)"/>
    <x v="0"/>
    <x v="5"/>
    <n v="605544.81741908984"/>
    <n v="0"/>
    <n v="605544.81741908984"/>
    <x v="3"/>
    <s v="Receber Materiais - Regap-Betim"/>
    <s v="N/A"/>
    <s v="N/A"/>
    <x v="6"/>
    <s v="Material"/>
  </r>
  <r>
    <s v="SS-44/2026"/>
    <s v="IN - 5250-24-085 - Phase-Out do Diesel S500 - Mudança 2.1 - Fabricação (Tubovias)"/>
    <x v="0"/>
    <x v="5"/>
    <n v="876691.98898071621"/>
    <n v="0"/>
    <n v="876691.98898071621"/>
    <x v="2"/>
    <s v="Mecânica - Betim"/>
    <d v="2026-03-12T00:00:00"/>
    <d v="2026-05-15T00:00:00"/>
    <x v="1"/>
    <s v="Obra"/>
  </r>
  <r>
    <s v="SS-45/2026"/>
    <s v="IN - 5250-24-085 - Phase-Out do Diesel S500 - Mudança 2.1 - Montagem (Tubovias)"/>
    <x v="0"/>
    <x v="6"/>
    <n v="1134057.7851239669"/>
    <n v="0"/>
    <n v="1134057.7851239669"/>
    <x v="2"/>
    <s v="Mecânica - Betim"/>
    <d v="2026-04-06T00:00:00"/>
    <d v="2026-07-01T00:00:00"/>
    <x v="7"/>
    <s v="Obra"/>
  </r>
  <r>
    <s v="SS-49/2026"/>
    <s v="IN-5250-24-092 - LEVANTAMENTO TOPOGRÁFICO PT-200 x PT-00"/>
    <x v="0"/>
    <x v="1"/>
    <n v="13419.779614325071"/>
    <n v="3661.4595527152942"/>
    <n v="9758.3200616097765"/>
    <x v="1"/>
    <s v="Civil (projeto e manutenção civil) - Betim"/>
    <s v="N/A"/>
    <s v="N/A"/>
    <x v="9"/>
    <s v="Topografia"/>
  </r>
  <r>
    <s v="SS-50/2026"/>
    <s v="Infraestrutura e Gestão - Parcela Fixa de Gestão - Abril/2026"/>
    <x v="1"/>
    <x v="7"/>
    <n v="1198055.5592286501"/>
    <n v="0"/>
    <n v="1198055.5592286501"/>
    <x v="4"/>
    <s v="PLANEJAMENTO E GESTÃO"/>
    <s v="N/A"/>
    <s v="N/A"/>
    <x v="4"/>
    <s v="Rotina"/>
  </r>
  <r>
    <s v="SS-51/2026"/>
    <s v="Serviço de Apoio - Movimentação de Carga e Disponibilização de Equipamento - Abril/2026"/>
    <x v="1"/>
    <x v="6"/>
    <n v="2820563.6914600548"/>
    <n v="0"/>
    <n v="2820563.6914600548"/>
    <x v="4"/>
    <s v="PLANEJAMENTO E GESTÃO"/>
    <s v="N/A"/>
    <s v="N/A"/>
    <x v="4"/>
    <s v="Rotina"/>
  </r>
  <r>
    <s v="SS-52/2026"/>
    <s v="Manutenção Civil - Rotina - Abril/2026"/>
    <x v="1"/>
    <x v="6"/>
    <n v="369852.08815427002"/>
    <n v="0"/>
    <n v="369852.08815427002"/>
    <x v="1"/>
    <s v="Civil (projeto e manutenção civil) - Betim"/>
    <s v="N/A"/>
    <s v="N/A"/>
    <x v="4"/>
    <s v="Rotina"/>
  </r>
  <r>
    <s v="SS-53/2026"/>
    <s v="Apoio de HS - Mecânica - Abril/2026"/>
    <x v="1"/>
    <x v="7"/>
    <n v="219756"/>
    <n v="0"/>
    <n v="219756"/>
    <x v="2"/>
    <s v="Mecânica - Betim"/>
    <s v="N/A"/>
    <s v="N/A"/>
    <x v="4"/>
    <s v="Rotina"/>
  </r>
  <r>
    <s v="SS-54/2026"/>
    <s v="Apoio de HS - Andaime - Abril/2026"/>
    <x v="1"/>
    <x v="7"/>
    <n v="240235.81267217631"/>
    <n v="0"/>
    <n v="240235.81267217631"/>
    <x v="2"/>
    <s v="Mecânica - Betim"/>
    <s v="N/A"/>
    <s v="N/A"/>
    <x v="4"/>
    <s v="Rotina"/>
  </r>
  <r>
    <s v="SS-55/2026"/>
    <s v="Apoio de HS - Elétrica/Instrumentação -Abril/2026"/>
    <x v="1"/>
    <x v="5"/>
    <n v="165707.9008264463"/>
    <n v="0"/>
    <n v="165707.9008264463"/>
    <x v="0"/>
    <s v="Elétrica e Instrumentação- Betim"/>
    <s v="N/A"/>
    <s v="N/A"/>
    <x v="4"/>
    <s v="Rotina"/>
  </r>
  <r>
    <s v="SS-56/2026"/>
    <s v="Apoio de HS - Civil - Abril/2026"/>
    <x v="1"/>
    <x v="6"/>
    <n v="71745.002754820933"/>
    <n v="0"/>
    <n v="71745.002754820933"/>
    <x v="1"/>
    <s v="Civil (projeto e manutenção civil) - Betim"/>
    <s v="N/A"/>
    <s v="N/A"/>
    <x v="4"/>
    <s v="Rotina"/>
  </r>
  <r>
    <s v="SS-57/2026"/>
    <s v="Apoio para PROJ - Empreendimento - Abril/2026"/>
    <x v="1"/>
    <x v="7"/>
    <n v="52233.719008264459"/>
    <n v="0"/>
    <n v="52233.719008264459"/>
    <x v="4"/>
    <s v="PLANEJAMENTO E GESTÃO"/>
    <s v="N/A"/>
    <s v="N/A"/>
    <x v="4"/>
    <s v="Rotina"/>
  </r>
  <r>
    <s v="SS-58/2026"/>
    <s v="Apoio para PROJ - As Built - Abril/2026"/>
    <x v="1"/>
    <x v="7"/>
    <n v="45927.724517906339"/>
    <n v="0"/>
    <n v="45927.724517906339"/>
    <x v="4"/>
    <s v="PLANEJAMENTO E GESTÃO"/>
    <s v="N/A"/>
    <s v="N/A"/>
    <x v="4"/>
    <s v="Rotina"/>
  </r>
  <r>
    <s v="SS-59/2026"/>
    <s v="Monitoramento das Barragens - Abril/2026"/>
    <x v="1"/>
    <x v="7"/>
    <n v="63562.269972451795"/>
    <n v="0"/>
    <n v="63562.269972451795"/>
    <x v="1"/>
    <s v="CIVIL (Projetos e Monit e Manutenção de Barragem) - Ibirité"/>
    <s v="N/A"/>
    <s v="N/A"/>
    <x v="4"/>
    <s v="Rotina"/>
  </r>
  <r>
    <s v="SS-60/2026"/>
    <s v="Apoio de Equipe de Alpinistas - Abril/2026"/>
    <x v="1"/>
    <x v="7"/>
    <n v="105605.28925619835"/>
    <n v="0"/>
    <n v="105605.28925619835"/>
    <x v="4"/>
    <s v="PLANEJAMENTO E GESTÃO"/>
    <s v="N/A"/>
    <s v="N/A"/>
    <x v="4"/>
    <s v="Rotina"/>
  </r>
  <r>
    <s v="SS-61/2026"/>
    <s v="Manutenção Civil - Apoio ao PM - Abril/2026"/>
    <x v="1"/>
    <x v="6"/>
    <n v="19928.705234159781"/>
    <n v="0"/>
    <n v="19928.705234159781"/>
    <x v="1"/>
    <s v="Civil (projeto e manutenção civil) - Betim"/>
    <s v="N/A"/>
    <s v="N/A"/>
    <x v="4"/>
    <s v="Rotina"/>
  </r>
  <r>
    <s v="SS-62/2026"/>
    <s v="RECOMPOSIÇÃO DA REDE DE DRENAGEM P3"/>
    <x v="1"/>
    <x v="2"/>
    <n v="0"/>
    <n v="0"/>
    <n v="0"/>
    <x v="1"/>
    <s v="Civil (projeto e manutenção civil) - Betim"/>
    <s v="N/A"/>
    <s v="N/A"/>
    <x v="3"/>
    <s v="Fase de planejamento"/>
  </r>
  <r>
    <s v="SS-63/2026"/>
    <s v="Rede Envelopada - Armazéns S5 x S6"/>
    <x v="1"/>
    <x v="7"/>
    <n v="296558.04958677688"/>
    <n v="0"/>
    <n v="296558.04958677688"/>
    <x v="1"/>
    <s v="Civil (projeto e manutenção civil) - Betim"/>
    <d v="2026-04-14T00:00:00"/>
    <d v="2026-06-30T00:00:00"/>
    <x v="7"/>
    <s v="Obra"/>
  </r>
  <r>
    <s v="SS-64/2026"/>
    <s v="Manutenção e reparo do asfalto"/>
    <x v="1"/>
    <x v="5"/>
    <n v="211997.56473829201"/>
    <n v="0"/>
    <n v="211997.56473829201"/>
    <x v="1"/>
    <s v="Civil (projeto e manutenção civil) - Betim"/>
    <s v="N/A"/>
    <s v="N/A"/>
    <x v="4"/>
    <s v="Rotina"/>
  </r>
  <r>
    <s v="SS-65/2026"/>
    <s v="ATIVIDADE HS - LIMPEZA DE ROTA - ÁREA ETE"/>
    <x v="1"/>
    <x v="5"/>
    <n v="224250.00550964189"/>
    <n v="0"/>
    <n v="224250.00550964189"/>
    <x v="1"/>
    <s v="Civil (projeto e manutenção civil) - Betim"/>
    <s v="N/A"/>
    <s v="N/A"/>
    <x v="5"/>
    <s v="Apoio"/>
  </r>
  <r>
    <s v="SS-66/2026"/>
    <s v="CALDEIRAS 0121-F-001 ABC - FUNDAÇÃO PARA GRUA"/>
    <x v="1"/>
    <x v="4"/>
    <n v="1008221.8512396694"/>
    <n v="0"/>
    <n v="1008221.8512396694"/>
    <x v="1"/>
    <s v="Civil (projeto e manutenção civil) - Betim"/>
    <d v="2026-03-30T00:00:00"/>
    <d v="2026-06-17T00:00:00"/>
    <x v="1"/>
    <s v="Obra"/>
  </r>
  <r>
    <s v="SS-67/2026"/>
    <s v="IN-5250-24-062 - Adequações CEM´s - Mudança 1 - U-003 (Instrumentação)"/>
    <x v="0"/>
    <x v="7"/>
    <n v="14098.137741046832"/>
    <n v="0"/>
    <n v="14098.137741046832"/>
    <x v="0"/>
    <s v="Elétrica e Instrumentação- Betim"/>
    <d v="2026-04-06T00:00:00"/>
    <d v="2026-05-14T00:00:00"/>
    <x v="10"/>
    <s v="Obra"/>
  </r>
  <r>
    <s v="SS-68/2026"/>
    <s v="IN-5250-24-062 - Adequações CEM´s - Mudança 2 - U-103 (Elétrica)"/>
    <x v="0"/>
    <x v="7"/>
    <n v="62302.203856749315"/>
    <n v="0"/>
    <n v="62302.203856749315"/>
    <x v="0"/>
    <s v="Elétrica e Instrumentação- Betim"/>
    <d v="2026-04-06T00:00:00"/>
    <d v="2026-06-25T00:00:00"/>
    <x v="10"/>
    <s v="Obra"/>
  </r>
  <r>
    <s v="SS-69/2026"/>
    <s v="IN-5250-24-062 - Adequações CEM´s - Mudança 2 - U-103 (Instrumentação)"/>
    <x v="0"/>
    <x v="7"/>
    <n v="4391.7245179063357"/>
    <n v="0"/>
    <n v="4391.7245179063357"/>
    <x v="0"/>
    <s v="Elétrica e Instrumentação- Betim"/>
    <d v="2026-04-06T00:00:00"/>
    <d v="2026-06-25T00:00:00"/>
    <x v="10"/>
    <s v="Obra"/>
  </r>
  <r>
    <s v="SS-70/2026"/>
    <s v="IN-5250-24-062 - Adequações CEM´s - Mudança 3 - U-114 (Elétrica)"/>
    <x v="0"/>
    <x v="7"/>
    <n v="27249.079889807163"/>
    <n v="0"/>
    <n v="27249.079889807163"/>
    <x v="0"/>
    <s v="Elétrica e Instrumentação- Betim"/>
    <d v="2026-04-13T00:00:00"/>
    <d v="2026-06-19T00:00:00"/>
    <x v="7"/>
    <s v="Obra"/>
  </r>
  <r>
    <s v="SS-71/2026"/>
    <s v="IN-5250-24-062 - Adequações CEM´s - Mudança 3 - U-114 (Instrumentação)"/>
    <x v="0"/>
    <x v="7"/>
    <n v="2283.1294765840221"/>
    <n v="0"/>
    <n v="2283.1294765840221"/>
    <x v="0"/>
    <s v="Elétrica e Instrumentação- Betim"/>
    <d v="2026-04-13T00:00:00"/>
    <d v="2026-06-19T00:00:00"/>
    <x v="7"/>
    <s v="Obra"/>
  </r>
  <r>
    <s v="SS-72/2026"/>
    <s v="IN-5250-24-062 - Adequações CEM´s - Mudança 4 - U-121 (Instrumentação)"/>
    <x v="0"/>
    <x v="7"/>
    <n v="30134.104683195594"/>
    <n v="0"/>
    <n v="30134.104683195594"/>
    <x v="0"/>
    <s v="Elétrica e Instrumentação- Betim"/>
    <d v="2026-04-20T00:00:00"/>
    <d v="2026-06-16T00:00:00"/>
    <x v="7"/>
    <s v="Obra"/>
  </r>
  <r>
    <s v="SS-73/2026"/>
    <s v="ELÉTRICA E INSTRUMENTAÇÃO - ALIMENTAÇÕES PROVISÓRIAS TAF - SDCD UDAV II"/>
    <x v="1"/>
    <x v="1"/>
    <n v="66716.74931129477"/>
    <n v="42623.389507363841"/>
    <n v="24093.359803930929"/>
    <x v="0"/>
    <s v="Elétrica e Instrumentação- Betim"/>
    <d v="2026-03-23T00:00:00"/>
    <d v="2026-05-08T00:00:00"/>
    <x v="1"/>
    <s v="Obra"/>
  </r>
  <r>
    <s v="SS-74/2026"/>
    <s v="TOPOGRAFIA - 0027-TQ-0035B"/>
    <x v="1"/>
    <x v="5"/>
    <n v="8136.484848484848"/>
    <n v="0"/>
    <n v="8136.484848484848"/>
    <x v="1"/>
    <s v="Civil (projeto e manutenção civil) - Betim"/>
    <s v="N/A"/>
    <s v="N/A"/>
    <x v="9"/>
    <s v="Topografia"/>
  </r>
  <r>
    <s v="SS-75/2026"/>
    <s v="TOPOGRAFIA - 0027-TQ-0037B"/>
    <x v="1"/>
    <x v="1"/>
    <n v="8136.484848484848"/>
    <n v="0"/>
    <n v="8136.484848484848"/>
    <x v="1"/>
    <s v="Civil (projeto e manutenção civil) - Betim"/>
    <s v="N/A"/>
    <s v="N/A"/>
    <x v="9"/>
    <s v="Topografia"/>
  </r>
  <r>
    <s v="SS-76/2026"/>
    <s v="TOPOGRAFIA - 0027-TQ-0001N"/>
    <x v="1"/>
    <x v="1"/>
    <n v="8136.484848484848"/>
    <n v="0"/>
    <n v="8136.484848484848"/>
    <x v="1"/>
    <s v="Civil (projeto e manutenção civil) - Betim"/>
    <s v="N/A"/>
    <s v="N/A"/>
    <x v="9"/>
    <s v="Topografia"/>
  </r>
  <r>
    <s v="SS-77/2026"/>
    <s v="TOPOGRAFIA - 0027-TQ-0001E"/>
    <x v="1"/>
    <x v="1"/>
    <n v="8136.484848484848"/>
    <n v="0"/>
    <n v="8136.484848484848"/>
    <x v="1"/>
    <s v="Civil (projeto e manutenção civil) - Betim"/>
    <s v="N/A"/>
    <s v="N/A"/>
    <x v="9"/>
    <s v="Topografia"/>
  </r>
  <r>
    <s v="SS-78/2026"/>
    <s v="DRENAGEM TUBOVIA DIRECIONADA PARA ALE"/>
    <x v="1"/>
    <x v="2"/>
    <n v="0"/>
    <n v="0"/>
    <n v="0"/>
    <x v="1"/>
    <s v="Civil (projeto e manutenção civil) - Betim"/>
    <s v="N/A"/>
    <s v="N/A"/>
    <x v="3"/>
    <s v="Fase de planejamento"/>
  </r>
  <r>
    <s v="SS-79/2026"/>
    <s v="UNIDADE 47 - TANQUE DE ÁGUA ÁCIDA"/>
    <x v="1"/>
    <x v="5"/>
    <n v="233278.53443526171"/>
    <n v="0"/>
    <n v="233278.53443526171"/>
    <x v="1"/>
    <s v="Civil (projeto e manutenção civil) - Betim"/>
    <d v="2026-04-01T00:00:00"/>
    <d v="2026-05-29T00:00:00"/>
    <x v="1"/>
    <s v="Obra"/>
  </r>
  <r>
    <s v="SS-80/2026"/>
    <s v="FURO DE SONDAGEM - REATOR 110-R-01"/>
    <x v="1"/>
    <x v="6"/>
    <n v="8279.7024793388427"/>
    <n v="0"/>
    <n v="8279.7024793388427"/>
    <x v="1"/>
    <s v="Civil (projeto e manutenção civil) - Betim"/>
    <d v="2026-04-30T00:00:00"/>
    <d v="2026-06-10T00:00:00"/>
    <x v="7"/>
    <s v="Sondagem"/>
  </r>
  <r>
    <s v="SS-81/2026"/>
    <s v="TOPOGRAFIA U-623 / DRENAGEM PLUVIAL - BLOCO L"/>
    <x v="1"/>
    <x v="1"/>
    <n v="30511.801652892562"/>
    <n v="8136.5767838117645"/>
    <n v="22375.224869080797"/>
    <x v="1"/>
    <s v="Civil (projeto e manutenção civil) - Betim"/>
    <s v="N/A"/>
    <s v="N/A"/>
    <x v="9"/>
    <s v="Topografia"/>
  </r>
  <r>
    <s v="SS-82/2026"/>
    <s v="TOPOGRAFIA - DRENAGEM CONTAMINADA BLOCO G"/>
    <x v="1"/>
    <x v="1"/>
    <n v="30511.801652892562"/>
    <n v="2034.1441959529413"/>
    <n v="28477.657456939622"/>
    <x v="1"/>
    <s v="Civil (projeto e manutenção civil) - Betim"/>
    <s v="N/A"/>
    <s v="N/A"/>
    <x v="9"/>
    <s v="Topografia"/>
  </r>
  <r>
    <s v="SS-83/2026"/>
    <s v="TOPOGRAFIA - ESTRUTURA PLATAFORMA PERMUTADORES"/>
    <x v="1"/>
    <x v="6"/>
    <n v="30511.801652892562"/>
    <n v="0"/>
    <n v="30511.801652892562"/>
    <x v="1"/>
    <s v="Civil (projeto e manutenção civil) - Betim"/>
    <s v="N/A"/>
    <s v="N/A"/>
    <x v="9"/>
    <s v="Topografia"/>
  </r>
  <r>
    <s v="SS-84/2026"/>
    <s v="IN-5250-23-030 - SECAGEM DO AR PRIORITÁRIO CCF-II - CIVIL"/>
    <x v="0"/>
    <x v="6"/>
    <n v="3816.969696969697"/>
    <n v="0"/>
    <n v="3816.969696969697"/>
    <x v="1"/>
    <s v="Civil (projeto e manutenção civil) - Betim"/>
    <d v="2026-03-30T00:00:00"/>
    <d v="2026-04-17T00:00:00"/>
    <x v="1"/>
    <s v="Obra"/>
  </r>
  <r>
    <s v="SS-85/2026"/>
    <s v="IN-5250-23-030 - SECAGEM DO AR PRIORITÁRIO CCF-II - TUBULAÇÃO FABRICAÇÃO"/>
    <x v="0"/>
    <x v="7"/>
    <n v="47708.25344352617"/>
    <n v="0"/>
    <n v="47708.25344352617"/>
    <x v="2"/>
    <s v="Mecânica - Betim"/>
    <d v="2026-03-31T00:00:00"/>
    <d v="2026-04-09T00:00:00"/>
    <x v="1"/>
    <s v="Obra"/>
  </r>
  <r>
    <s v="SS-86/2026"/>
    <s v="IN-5250-23-030 - SECAGEM DO AR PRIORITÁRIO CCF-II - TUBULAÇÃO MONTAGEM"/>
    <x v="0"/>
    <x v="6"/>
    <n v="47882.457300275484"/>
    <n v="0"/>
    <n v="47882.457300275484"/>
    <x v="2"/>
    <s v="Mecânica - Betim"/>
    <d v="2026-03-30T00:00:00"/>
    <d v="2026-04-16T00:00:00"/>
    <x v="1"/>
    <s v="Obra"/>
  </r>
  <r>
    <s v="SS-87/2026"/>
    <s v="IN-5250-23-030 - SECAGEM DO AR PRIORITÁRIO CCF-II - MECÂNICA - MONTAGEM DO VASO"/>
    <x v="0"/>
    <x v="6"/>
    <n v="42270.380165289258"/>
    <n v="0"/>
    <n v="42270.380165289258"/>
    <x v="2"/>
    <s v="Mecânica - Betim"/>
    <d v="2026-03-30T00:00:00"/>
    <d v="2026-04-10T00:00:00"/>
    <x v="1"/>
    <s v="Obra"/>
  </r>
  <r>
    <s v="SS-88/2026"/>
    <s v="IN-5250-23-030 - SECAGEM DO AR PRIORITÁRIO CCF-II - INSTRUMENTAÇÃO"/>
    <x v="0"/>
    <x v="7"/>
    <n v="9651.5371900826449"/>
    <n v="0"/>
    <n v="9651.5371900826449"/>
    <x v="2"/>
    <s v="Mecânica - Betim"/>
    <d v="2026-03-30T00:00:00"/>
    <d v="2026-04-17T00:00:00"/>
    <x v="1"/>
    <s v="Obra"/>
  </r>
  <r>
    <s v="SS-89/2026"/>
    <s v="Manutenção Civil - PÁTIO DE ENXOFRE"/>
    <x v="1"/>
    <x v="5"/>
    <n v="1035416.0991735538"/>
    <n v="0"/>
    <n v="1035416.0991735538"/>
    <x v="1"/>
    <s v="Civil (projeto e manutenção civil) - Betim"/>
    <d v="2026-05-04T00:00:00"/>
    <d v="2026-09-21T00:00:00"/>
    <x v="8"/>
    <s v="Obra"/>
  </r>
  <r>
    <s v="SS-90/2026"/>
    <s v="Manutenção Civil - CANAL DE PINTADOS"/>
    <x v="1"/>
    <x v="7"/>
    <n v="1565744.9476584024"/>
    <n v="0"/>
    <n v="1565744.9476584024"/>
    <x v="1"/>
    <s v="Civil (projeto e manutenção civil) - Betim"/>
    <d v="2026-05-04T00:00:00"/>
    <d v="2028-03-13T00:00:00"/>
    <x v="2"/>
    <s v="Em replanejamento"/>
  </r>
  <r>
    <s v="SS-96/2026"/>
    <s v="CFTV U-47 e seccionadoras PT-123"/>
    <x v="1"/>
    <x v="6"/>
    <n v="70798.909090909088"/>
    <n v="0"/>
    <n v="70798.909090909088"/>
    <x v="0"/>
    <s v="Elétrica e Instrumentação- Betim"/>
    <d v="2026-04-20T00:00:00"/>
    <d v="2026-05-11T00:00:00"/>
    <x v="7"/>
    <s v="Obra"/>
  </r>
  <r>
    <s v="SS-97/2026"/>
    <s v="REF0143952_108-FV-0084 /FT-084 CORIOLIS (TUBULAÇÃO)"/>
    <x v="1"/>
    <x v="5"/>
    <n v="1713.1349862258955"/>
    <n v="0"/>
    <n v="1713.1349862258955"/>
    <x v="2"/>
    <s v="Mecânica - Betim"/>
    <d v="2026-04-09T00:00:00"/>
    <d v="2026-04-15T00:00:00"/>
    <x v="7"/>
    <s v="Obra"/>
  </r>
  <r>
    <s v="SS-98/2026"/>
    <s v="REF0143952_108-FV-0084 /FT-084 CORIOLIS (INSTRUMENTAÇÃO)"/>
    <x v="1"/>
    <x v="5"/>
    <n v="20303.559228650138"/>
    <n v="0"/>
    <n v="20303.559228650138"/>
    <x v="0"/>
    <s v="Elétrica e Instrumentação- Betim"/>
    <d v="2026-03-30T00:00:00"/>
    <d v="2026-04-23T00:00:00"/>
    <x v="1"/>
    <s v="Obra"/>
  </r>
  <r>
    <s v="SS-99/2026"/>
    <s v="REF0143952_108-FV-0084 /FT-084 CORIOLIS (AUTOMAÇÃO)"/>
    <x v="1"/>
    <x v="7"/>
    <n v="621.27823691460048"/>
    <n v="0"/>
    <n v="621.27823691460048"/>
    <x v="0"/>
    <s v="Elétrica e Instrumentação- Betim"/>
    <d v="2026-03-30T00:00:00"/>
    <d v="2026-04-23T00:00:00"/>
    <x v="1"/>
    <s v="Obra"/>
  </r>
  <r>
    <s v="SS-102/2026"/>
    <s v="REF0186396 - Sondagem GPR (Georadar) - IN-5250-24-092: AMPLIAÇÃO DO PT-200 E MODERNIZAÇÃO DE EQUIPAMENTOS"/>
    <x v="1"/>
    <x v="6"/>
    <n v="17488.022038567491"/>
    <n v="0"/>
    <n v="17488.022038567491"/>
    <x v="1"/>
    <s v="Civil (projeto e manutenção civil) - Betim"/>
    <d v="2026-04-13T00:00:00"/>
    <d v="2026-04-22T00:00:00"/>
    <x v="7"/>
    <s v="Sondagem"/>
  </r>
  <r>
    <s v="SS-103/2026"/>
    <s v="PMBC MIGRAÇÃO DAS BOMBAS DA U-0047 PARA O SDCD"/>
    <x v="1"/>
    <x v="6"/>
    <n v="40895.68044077135"/>
    <n v="0"/>
    <n v="40895.68044077135"/>
    <x v="0"/>
    <s v="Elétrica e Instrumentação- Betim"/>
    <d v="2026-04-20T00:00:00"/>
    <d v="2026-06-19T00:00:00"/>
    <x v="7"/>
    <s v="Obra"/>
  </r>
  <r>
    <s v="SS-106/2026"/>
    <s v="LIMPEZA DA ÁREA MA/PM"/>
    <x v="1"/>
    <x v="7"/>
    <n v="360228.3966942149"/>
    <n v="0"/>
    <n v="360228.3966942149"/>
    <x v="1"/>
    <s v="Civil (projeto e manutenção civil) - Betim"/>
    <s v="N/A"/>
    <s v="N/A"/>
    <x v="5"/>
    <s v="Apoio"/>
  </r>
  <r>
    <s v="SS-108/2026"/>
    <s v="IN - 5250-24-085 - Phase-Out do Diesel S500 - Mudança 4.1 - Aquisição de Bens (Tubovias)"/>
    <x v="0"/>
    <x v="7"/>
    <n v="682219.07232900977"/>
    <n v="0"/>
    <n v="682219.07232900977"/>
    <x v="3"/>
    <s v="Receber Materiais - Regap-Betim"/>
    <s v="N/A"/>
    <s v="N/A"/>
    <x v="6"/>
    <s v="Material"/>
  </r>
  <r>
    <s v="SS-109/2026"/>
    <s v="IN - 5250-24-085 - Phase-Out do Diesel S500 - Mudança 4.1 - Fabricação (Tubovias)"/>
    <x v="0"/>
    <x v="7"/>
    <n v="912230.47933884303"/>
    <n v="0"/>
    <n v="912230.47933884303"/>
    <x v="2"/>
    <s v="Mecânica - Betim"/>
    <d v="2026-04-20T00:00:00"/>
    <d v="2026-06-16T00:00:00"/>
    <x v="7"/>
    <s v="Obra"/>
  </r>
  <r>
    <s v="SS-110/2026"/>
    <s v="IN - 5250-24-085 - Phase-Out do Diesel S500 - Mudança 4.1 - Montagem (Tubovias)"/>
    <x v="0"/>
    <x v="6"/>
    <n v="1158558.4242424243"/>
    <n v="0"/>
    <n v="1158558.4242424243"/>
    <x v="2"/>
    <s v="Mecânica - Betim"/>
    <d v="2026-03-27T00:00:00"/>
    <d v="2026-06-15T00:00:00"/>
    <x v="1"/>
    <s v="Obra"/>
  </r>
  <r>
    <s v="SS-123/2026"/>
    <s v="IN-5250-23-017 - TERRAPLANAGEM U-623"/>
    <x v="0"/>
    <x v="2"/>
    <n v="0"/>
    <n v="0"/>
    <n v="0"/>
    <x v="1"/>
    <s v="Civil (projeto e manutenção civil) - Betim"/>
    <s v="N/A"/>
    <s v="N/A"/>
    <x v="3"/>
    <s v="Fase de planejamento"/>
  </r>
  <r>
    <s v="SS-124/2026"/>
    <s v="121-F-01 ABC - DEMOLIÇÃO BASE DA GRUA"/>
    <x v="1"/>
    <x v="2"/>
    <n v="0"/>
    <n v="0"/>
    <n v="0"/>
    <x v="1"/>
    <s v="Civil (projeto e manutenção civil) - Betim"/>
    <s v="N/A"/>
    <s v="N/A"/>
    <x v="3"/>
    <s v="Fase de planejamento"/>
  </r>
  <r>
    <s v="SS-125/2026"/>
    <s v="U-110 - DEMOLIÇÃO FUNDAÇÃO - 110-R-01"/>
    <x v="1"/>
    <x v="6"/>
    <n v="4246.4242424242429"/>
    <n v="0"/>
    <n v="4246.4242424242429"/>
    <x v="1"/>
    <s v="Civil (projeto e manutenção civil) - Betim"/>
    <d v="2026-04-27T00:00:00"/>
    <d v="2026-11-09T00:00:00"/>
    <x v="7"/>
    <s v="Obra"/>
  </r>
  <r>
    <s v="SS-126/2026"/>
    <s v="U-110 - CONSTRUÇÃO FUNDAÇÃO - 110-R-01"/>
    <x v="1"/>
    <x v="6"/>
    <n v="282369.65289256198"/>
    <n v="0"/>
    <n v="282369.65289256198"/>
    <x v="1"/>
    <s v="Civil (projeto e manutenção civil) - Betim"/>
    <d v="2026-04-27T00:00:00"/>
    <d v="2026-11-09T00:00:00"/>
    <x v="7"/>
    <s v="Obra"/>
  </r>
  <r>
    <s v="SS-128/2026"/>
    <s v="FORNECIMENTO DE BENS - ALIMENTAÇÕES PROVISÓRIAS TAF - SDCD UDAV II"/>
    <x v="1"/>
    <x v="2"/>
    <n v="0"/>
    <n v="0"/>
    <n v="0"/>
    <x v="0"/>
    <s v="Elétrica e Instrumentação- Betim"/>
    <s v="N/A"/>
    <s v="N/A"/>
    <x v="6"/>
    <s v="Material"/>
  </r>
  <r>
    <s v="SS-130/2026"/>
    <s v="U-623 - RELOCAÇÃO TUBULAÇÃO SELAGEM - FABRICAÇÃO"/>
    <x v="1"/>
    <x v="2"/>
    <n v="0"/>
    <n v="0"/>
    <n v="0"/>
    <x v="2"/>
    <s v="Mecânica - Betim"/>
    <s v="N/A"/>
    <s v="N/A"/>
    <x v="3"/>
    <s v="Fase de planejamento"/>
  </r>
  <r>
    <s v="SS-131/2026"/>
    <s v="U-623 - RELOCAÇÃO TUBULAÇÃO SELAGEM - MONTAGEM"/>
    <x v="1"/>
    <x v="2"/>
    <n v="0"/>
    <n v="0"/>
    <n v="0"/>
    <x v="2"/>
    <s v="Mecânica - Betim"/>
    <s v="N/A"/>
    <s v="N/A"/>
    <x v="3"/>
    <s v="Fase de planejamento"/>
  </r>
  <r>
    <s v="SS-132/2026"/>
    <s v="U-623 - RELOCAÇÃO TUBULAÇÃO RACE - FABRICAÇÃO"/>
    <x v="1"/>
    <x v="2"/>
    <n v="0"/>
    <n v="0"/>
    <n v="0"/>
    <x v="2"/>
    <s v="Mecânica - Betim"/>
    <s v="N/A"/>
    <s v="N/A"/>
    <x v="3"/>
    <s v="Fase de planejamento"/>
  </r>
  <r>
    <s v="SS-133/2026"/>
    <s v="U-623 - RELOCAÇÃO TUBULAÇÃO RACE - MONTAGEM"/>
    <x v="1"/>
    <x v="2"/>
    <n v="0"/>
    <n v="0"/>
    <n v="0"/>
    <x v="2"/>
    <s v="Mecânica - Betim"/>
    <s v="N/A"/>
    <s v="N/A"/>
    <x v="3"/>
    <s v="Fase de planejamento"/>
  </r>
  <r>
    <s v="SS-134/2026"/>
    <s v="U-623 - RELOCAÇÃO TUBULAÇÕES - CIVIL"/>
    <x v="1"/>
    <x v="2"/>
    <n v="0"/>
    <n v="0"/>
    <n v="0"/>
    <x v="1"/>
    <s v="Civil (projeto e manutenção civil) - Betim"/>
    <s v="N/A"/>
    <s v="N/A"/>
    <x v="3"/>
    <s v="Fase de planejamento"/>
  </r>
  <r>
    <s v="SS-135/2026"/>
    <s v="UN-623 - PONTILHÃO (AVENIDA &quot;D&quot;) - CIVIL"/>
    <x v="1"/>
    <x v="2"/>
    <n v="0"/>
    <n v="0"/>
    <n v="0"/>
    <x v="1"/>
    <s v="Civil (projeto e manutenção civil) - Betim"/>
    <s v="N/A"/>
    <s v="N/A"/>
    <x v="3"/>
    <s v="Fase de planejamento"/>
  </r>
  <r>
    <s v="SS-136/2026"/>
    <s v="UN-623 - CASA DE QUÍMICOS - CIVIL"/>
    <x v="1"/>
    <x v="2"/>
    <n v="0"/>
    <n v="0"/>
    <n v="0"/>
    <x v="1"/>
    <s v="Civil (projeto e manutenção civil) - Betim"/>
    <s v="N/A"/>
    <s v="N/A"/>
    <x v="3"/>
    <s v="Fase de planejamento"/>
  </r>
  <r>
    <s v="SS-137/2026"/>
    <s v="UN-623 - CASA DE QUÍMICOS - ESTRUTURA METÁLICA"/>
    <x v="1"/>
    <x v="2"/>
    <n v="0"/>
    <n v="0"/>
    <n v="0"/>
    <x v="2"/>
    <s v="Mecânica - Betim"/>
    <s v="N/A"/>
    <s v="N/A"/>
    <x v="3"/>
    <s v="Fase de planejamento"/>
  </r>
  <r>
    <s v="SS-138/2026"/>
    <s v="UN-623 - CASA DE QUÍMICOS - INSTALAÇÕES"/>
    <x v="1"/>
    <x v="2"/>
    <n v="0"/>
    <n v="0"/>
    <n v="0"/>
    <x v="1"/>
    <s v="Civil (projeto e manutenção civil) - Betim"/>
    <s v="N/A"/>
    <s v="N/A"/>
    <x v="3"/>
    <s v="Fase de planejamento"/>
  </r>
  <r>
    <s v="SS-139/2026"/>
    <s v="UN-623 - CASA DE QUÍMICOS - FORNECIMENTO DE BENS"/>
    <x v="1"/>
    <x v="2"/>
    <n v="0"/>
    <n v="0"/>
    <n v="0"/>
    <x v="3"/>
    <s v="Receber Materiais - Regap-Betim"/>
    <s v="N/A"/>
    <s v="N/A"/>
    <x v="6"/>
    <s v="Materi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2AB9A-338A-4AA0-8083-41F7439346AB}" name="Tabela dinâmica1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sciplina">
  <location ref="A18:B24" firstHeaderRow="1" firstDataRow="1" firstDataCol="1"/>
  <pivotFields count="13">
    <pivotField showAll="0"/>
    <pivotField showAll="0"/>
    <pivotField showAll="0"/>
    <pivotField showAll="0"/>
    <pivotField numFmtId="165" showAll="0"/>
    <pivotField showAll="0"/>
    <pivotField dataField="1" numFmtId="165" showAll="0"/>
    <pivotField axis="axisRow" showAll="0">
      <items count="34">
        <item m="1" x="19"/>
        <item m="1" x="25"/>
        <item m="1" x="32"/>
        <item m="1" x="30"/>
        <item m="1" x="28"/>
        <item m="1" x="29"/>
        <item m="1" x="31"/>
        <item m="1" x="20"/>
        <item x="1"/>
        <item m="1" x="10"/>
        <item m="1" x="16"/>
        <item x="0"/>
        <item m="1" x="9"/>
        <item m="1" x="24"/>
        <item m="1" x="17"/>
        <item m="1" x="14"/>
        <item x="3"/>
        <item m="1" x="8"/>
        <item m="1" x="6"/>
        <item m="1" x="23"/>
        <item m="1" x="27"/>
        <item m="1" x="21"/>
        <item m="1" x="18"/>
        <item m="1" x="22"/>
        <item m="1" x="11"/>
        <item m="1" x="7"/>
        <item m="1" x="15"/>
        <item m="1" x="13"/>
        <item m="1" x="26"/>
        <item m="1" x="12"/>
        <item x="2"/>
        <item x="4"/>
        <item m="1" x="5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 v="8"/>
    </i>
    <i>
      <x v="11"/>
    </i>
    <i>
      <x v="16"/>
    </i>
    <i>
      <x v="30"/>
    </i>
    <i>
      <x v="31"/>
    </i>
    <i t="grand">
      <x/>
    </i>
  </rowItems>
  <colItems count="1">
    <i/>
  </colItems>
  <dataFields count="1">
    <dataField name="Soma de Valor Saldo" fld="6" baseField="0" baseItem="0" numFmtId="165"/>
  </dataFields>
  <formats count="2">
    <format dxfId="67">
      <pivotArea field="7" type="button" dataOnly="0" labelOnly="1" outline="0" axis="axisRow" fieldPosition="0"/>
    </format>
    <format dxfId="6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D4543-A959-4445-8223-0000A45A7040}" name="Tabela dinâ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 SAMC Real">
  <location ref="D6:E15" firstHeaderRow="1" firstDataRow="1" firstDataCol="1"/>
  <pivotFields count="13">
    <pivotField dataField="1" showAll="0"/>
    <pivotField showAll="0"/>
    <pivotField showAll="0"/>
    <pivotField axis="axisRow" showAll="0">
      <items count="12">
        <item m="1" x="9"/>
        <item x="7"/>
        <item x="6"/>
        <item x="2"/>
        <item x="1"/>
        <item x="0"/>
        <item x="5"/>
        <item m="1" x="10"/>
        <item x="4"/>
        <item x="3"/>
        <item m="1" x="8"/>
        <item t="default"/>
      </items>
    </pivotField>
    <pivotField numFmtId="165" showAll="0"/>
    <pivotField showAll="0"/>
    <pivotField numFmtId="165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 t="grand">
      <x/>
    </i>
  </rowItems>
  <colItems count="1">
    <i/>
  </colItems>
  <dataFields count="1">
    <dataField name="Contagem de Número" fld="0" subtotal="count" baseField="0" baseItem="0"/>
  </dataFields>
  <formats count="3">
    <format dxfId="70">
      <pivotArea dataOnly="0" labelOnly="1" outline="0" axis="axisValues" fieldPosition="0"/>
    </format>
    <format dxfId="69">
      <pivotArea field="3" type="button" dataOnly="0" labelOnly="1" outline="0" axis="axisRow" fieldPosition="0"/>
    </format>
    <format dxfId="6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116D9-CBF9-4EC6-88DD-D056297B2965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 SAMC Real">
  <location ref="A6:B15" firstHeaderRow="1" firstDataRow="1" firstDataCol="1"/>
  <pivotFields count="13">
    <pivotField showAll="0"/>
    <pivotField showAll="0"/>
    <pivotField showAll="0"/>
    <pivotField axis="axisRow" showAll="0">
      <items count="9">
        <item x="7"/>
        <item x="6"/>
        <item x="2"/>
        <item x="1"/>
        <item x="0"/>
        <item x="5"/>
        <item x="4"/>
        <item x="3"/>
        <item t="default"/>
      </items>
    </pivotField>
    <pivotField numFmtId="165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Saldo" fld="6" baseField="0" baseItem="0" numFmtId="165"/>
  </dataFields>
  <formats count="2">
    <format dxfId="72">
      <pivotArea field="3" type="button" dataOnly="0" labelOnly="1" outline="0" axis="axisRow" fieldPosition="0"/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9EAF0-C3C8-4DB1-9EBE-081CFDBD01C0}" name="Tabela dinâmica1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A27:B30" firstHeaderRow="1" firstDataRow="1" firstDataCol="1"/>
  <pivotFields count="13">
    <pivotField showAll="0"/>
    <pivotField showAll="0"/>
    <pivotField axis="axisRow" showAll="0">
      <items count="6">
        <item x="1"/>
        <item x="0"/>
        <item m="1" x="4"/>
        <item m="1" x="3"/>
        <item m="1" x="2"/>
        <item t="default"/>
      </items>
    </pivotField>
    <pivotField showAll="0"/>
    <pivotField numFmtId="165" showAll="0"/>
    <pivotField showAll="0"/>
    <pivotField dataField="1" numFmtId="165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oma de Valor Saldo" fld="6" baseField="0" baseItem="0" numFmtId="165"/>
  </dataFields>
  <chartFormats count="3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E596F-7AC2-4507-A480-65A9A7BC5174}" name="Tabela dinâmica1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isciplina">
  <location ref="D18:E24" firstHeaderRow="1" firstDataRow="1" firstDataCol="1"/>
  <pivotFields count="13">
    <pivotField showAll="0"/>
    <pivotField showAll="0"/>
    <pivotField showAll="0"/>
    <pivotField showAll="0"/>
    <pivotField numFmtId="165" showAll="0"/>
    <pivotField showAll="0"/>
    <pivotField dataField="1" numFmtId="165" showAll="0"/>
    <pivotField axis="axisRow" showAll="0">
      <items count="34">
        <item m="1" x="19"/>
        <item m="1" x="25"/>
        <item m="1" x="32"/>
        <item m="1" x="30"/>
        <item m="1" x="28"/>
        <item m="1" x="29"/>
        <item m="1" x="31"/>
        <item m="1" x="20"/>
        <item x="1"/>
        <item m="1" x="10"/>
        <item m="1" x="16"/>
        <item x="0"/>
        <item m="1" x="9"/>
        <item m="1" x="24"/>
        <item m="1" x="17"/>
        <item m="1" x="14"/>
        <item x="3"/>
        <item m="1" x="8"/>
        <item m="1" x="6"/>
        <item m="1" x="23"/>
        <item m="1" x="27"/>
        <item m="1" x="21"/>
        <item m="1" x="18"/>
        <item m="1" x="22"/>
        <item m="1" x="11"/>
        <item m="1" x="7"/>
        <item m="1" x="15"/>
        <item m="1" x="13"/>
        <item m="1" x="26"/>
        <item m="1" x="12"/>
        <item x="2"/>
        <item x="4"/>
        <item m="1" x="5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6">
    <i>
      <x v="8"/>
    </i>
    <i>
      <x v="11"/>
    </i>
    <i>
      <x v="16"/>
    </i>
    <i>
      <x v="30"/>
    </i>
    <i>
      <x v="31"/>
    </i>
    <i t="grand">
      <x/>
    </i>
  </rowItems>
  <colItems count="1">
    <i/>
  </colItems>
  <dataFields count="1">
    <dataField name="Contagem de Valor Saldo" fld="6" subtotal="count" baseField="6" baseItem="8"/>
  </dataFields>
  <formats count="3">
    <format dxfId="75">
      <pivotArea dataOnly="0" labelOnly="1" outline="0" axis="axisValues" fieldPosition="0"/>
    </format>
    <format dxfId="74">
      <pivotArea field="7" type="button" dataOnly="0" labelOnly="1" outline="0" axis="axisRow" fieldPosition="0"/>
    </format>
    <format dxfId="7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3F8EB-EF08-4AA2-B2D3-6CCF885A5CC6}" name="Tabela dinâmica1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STATUS DAS SS'S - ANDAMENTO">
  <location ref="A6:B18" firstHeaderRow="1" firstDataRow="1" firstDataCol="1"/>
  <pivotFields count="13">
    <pivotField showAll="0"/>
    <pivotField showAll="0"/>
    <pivotField showAll="0"/>
    <pivotField showAll="0"/>
    <pivotField numFmtId="165" showAll="0"/>
    <pivotField showAll="0"/>
    <pivotField numFmtId="165" showAll="0"/>
    <pivotField showAll="0"/>
    <pivotField showAll="0"/>
    <pivotField showAll="0"/>
    <pivotField showAll="0"/>
    <pivotField axis="axisRow" dataField="1" showAll="0">
      <items count="12">
        <item x="1"/>
        <item x="3"/>
        <item x="2"/>
        <item x="10"/>
        <item x="7"/>
        <item x="8"/>
        <item x="6"/>
        <item x="5"/>
        <item x="4"/>
        <item x="0"/>
        <item x="9"/>
        <item t="default"/>
      </items>
    </pivotField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NTAGEM" fld="11" subtotal="count" baseField="0" baseItem="0"/>
  </dataFields>
  <formats count="6">
    <format dxfId="59">
      <pivotArea outline="0" collapsedLevelsAreSubtotals="1" fieldPosition="0"/>
    </format>
    <format dxfId="58">
      <pivotArea dataOnly="0" labelOnly="1" outline="0" axis="axisValues" fieldPosition="0"/>
    </format>
    <format dxfId="57">
      <pivotArea collapsedLevelsAreSubtotals="1" fieldPosition="0">
        <references count="1">
          <reference field="11" count="1">
            <x v="3"/>
          </reference>
        </references>
      </pivotArea>
    </format>
    <format dxfId="56">
      <pivotArea dataOnly="0" labelOnly="1" fieldPosition="0">
        <references count="1">
          <reference field="11" count="1">
            <x v="3"/>
          </reference>
        </references>
      </pivotArea>
    </format>
    <format dxfId="55">
      <pivotArea collapsedLevelsAreSubtotals="1" fieldPosition="0">
        <references count="1">
          <reference field="11" count="1">
            <x v="4"/>
          </reference>
        </references>
      </pivotArea>
    </format>
    <format dxfId="54">
      <pivotArea dataOnly="0" labelOnly="1" fieldPosition="0">
        <references count="1">
          <reference field="11" count="1">
            <x v="4"/>
          </reference>
        </references>
      </pivotArea>
    </format>
  </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5D540-671E-41E6-85E0-9217BDC704AD}" name="Tabela dinâmica2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STATUS DAS SS'S - ANDAMENTO&amp;SAMC">
  <location ref="D6:E54" firstHeaderRow="1" firstDataRow="1" firstDataCol="1"/>
  <pivotFields count="13">
    <pivotField showAll="0"/>
    <pivotField showAll="0"/>
    <pivotField showAll="0"/>
    <pivotField axis="axisRow" showAll="0">
      <items count="12">
        <item m="1" x="9"/>
        <item x="7"/>
        <item x="3"/>
        <item x="6"/>
        <item x="2"/>
        <item x="1"/>
        <item x="0"/>
        <item x="5"/>
        <item m="1" x="10"/>
        <item x="4"/>
        <item m="1" x="8"/>
        <item t="default"/>
      </items>
    </pivotField>
    <pivotField numFmtId="165" showAll="0"/>
    <pivotField showAll="0"/>
    <pivotField numFmtId="165" showAll="0"/>
    <pivotField showAll="0"/>
    <pivotField showAll="0"/>
    <pivotField showAll="0"/>
    <pivotField showAll="0"/>
    <pivotField axis="axisRow" dataField="1" showAll="0">
      <items count="12">
        <item x="1"/>
        <item x="3"/>
        <item x="2"/>
        <item x="10"/>
        <item x="7"/>
        <item x="8"/>
        <item x="6"/>
        <item x="5"/>
        <item x="4"/>
        <item x="0"/>
        <item x="9"/>
        <item t="default"/>
      </items>
    </pivotField>
    <pivotField showAll="0"/>
  </pivotFields>
  <rowFields count="2">
    <field x="11"/>
    <field x="3"/>
  </rowFields>
  <rowItems count="48">
    <i>
      <x/>
    </i>
    <i r="1">
      <x v="1"/>
    </i>
    <i r="1">
      <x v="3"/>
    </i>
    <i r="1">
      <x v="5"/>
    </i>
    <i r="1">
      <x v="6"/>
    </i>
    <i r="1">
      <x v="7"/>
    </i>
    <i r="1">
      <x v="9"/>
    </i>
    <i>
      <x v="1"/>
    </i>
    <i r="1">
      <x v="4"/>
    </i>
    <i>
      <x v="2"/>
    </i>
    <i r="1">
      <x v="1"/>
    </i>
    <i r="1">
      <x v="2"/>
    </i>
    <i r="1">
      <x v="3"/>
    </i>
    <i r="1">
      <x v="5"/>
    </i>
    <i r="1">
      <x v="6"/>
    </i>
    <i r="1">
      <x v="9"/>
    </i>
    <i>
      <x v="3"/>
    </i>
    <i r="1">
      <x v="1"/>
    </i>
    <i>
      <x v="4"/>
    </i>
    <i r="1">
      <x v="1"/>
    </i>
    <i r="1">
      <x v="3"/>
    </i>
    <i r="1">
      <x v="7"/>
    </i>
    <i>
      <x v="5"/>
    </i>
    <i r="1">
      <x v="3"/>
    </i>
    <i r="1">
      <x v="7"/>
    </i>
    <i>
      <x v="6"/>
    </i>
    <i r="1">
      <x v="1"/>
    </i>
    <i r="1">
      <x v="4"/>
    </i>
    <i r="1">
      <x v="5"/>
    </i>
    <i r="1">
      <x v="6"/>
    </i>
    <i r="1">
      <x v="7"/>
    </i>
    <i r="1">
      <x v="9"/>
    </i>
    <i>
      <x v="7"/>
    </i>
    <i r="1">
      <x v="1"/>
    </i>
    <i r="1">
      <x v="5"/>
    </i>
    <i r="1">
      <x v="7"/>
    </i>
    <i>
      <x v="8"/>
    </i>
    <i r="1">
      <x v="1"/>
    </i>
    <i r="1">
      <x v="3"/>
    </i>
    <i r="1">
      <x v="5"/>
    </i>
    <i r="1">
      <x v="7"/>
    </i>
    <i>
      <x v="9"/>
    </i>
    <i r="1">
      <x v="6"/>
    </i>
    <i>
      <x v="10"/>
    </i>
    <i r="1">
      <x v="3"/>
    </i>
    <i r="1">
      <x v="5"/>
    </i>
    <i r="1">
      <x v="7"/>
    </i>
    <i t="grand">
      <x/>
    </i>
  </rowItems>
  <colItems count="1">
    <i/>
  </colItems>
  <dataFields count="1">
    <dataField name="CONTAGEM" fld="11" subtotal="count" baseField="0" baseItem="0"/>
  </dataFields>
  <formats count="6">
    <format dxfId="65">
      <pivotArea outline="0" collapsedLevelsAreSubtotals="1" fieldPosition="0"/>
    </format>
    <format dxfId="64">
      <pivotArea dataOnly="0" labelOnly="1" outline="0" axis="axisValues" fieldPosition="0"/>
    </format>
    <format dxfId="63">
      <pivotArea collapsedLevelsAreSubtotals="1" fieldPosition="0">
        <references count="1">
          <reference field="11" count="1">
            <x v="3"/>
          </reference>
        </references>
      </pivotArea>
    </format>
    <format dxfId="62">
      <pivotArea dataOnly="0" labelOnly="1" fieldPosition="0">
        <references count="1">
          <reference field="11" count="1">
            <x v="3"/>
          </reference>
        </references>
      </pivotArea>
    </format>
    <format dxfId="61">
      <pivotArea collapsedLevelsAreSubtotals="1" fieldPosition="0">
        <references count="1">
          <reference field="11" count="1">
            <x v="4"/>
          </reference>
        </references>
      </pivotArea>
    </format>
    <format dxfId="60">
      <pivotArea dataOnly="0" labelOnly="1" fieldPosition="0">
        <references count="1">
          <reference field="11" count="1">
            <x v="4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8C18A0-0035-4C59-9410-907A62CEED85}" name="Tabela1" displayName="Tabela1" ref="A1:K197" totalsRowShown="0" headerRowDxfId="53" dataDxfId="52">
  <autoFilter ref="A1:K197" xr:uid="{FB8C18A0-0035-4C59-9410-907A62CEED85}"/>
  <tableColumns count="11">
    <tableColumn id="1" xr3:uid="{30F604A9-62F1-4FD5-9591-B56960D7FDA6}" name="Número" dataDxfId="51" totalsRowDxfId="50"/>
    <tableColumn id="3" xr3:uid="{EF3A250A-A880-486D-8EBB-476C3FB9A192}" name="Título" dataDxfId="49" totalsRowDxfId="48">
      <calculatedColumnFormula>VLOOKUP(Tabela1[[#This Row],[Número]],SAMC!A:F,2,0)</calculatedColumnFormula>
    </tableColumn>
    <tableColumn id="11" xr3:uid="{B8BBA53F-1241-41AD-98A6-54B1F7CB8E55}" name="IN-GOG" dataDxfId="47" totalsRowDxfId="46"/>
    <tableColumn id="9" xr3:uid="{D64E8432-FA25-4DF5-BC5D-1769950E6342}" name="Status Real" dataDxfId="45" totalsRowDxfId="44">
      <calculatedColumnFormula>VLOOKUP(Tabela1[[#This Row],[Número]],SAMC!A:F,6,0)</calculatedColumnFormula>
    </tableColumn>
    <tableColumn id="12" xr3:uid="{E758706D-6E44-4398-9228-4752F2521353}" name="Valor Global" dataDxfId="43" totalsRowDxfId="42"/>
    <tableColumn id="16" xr3:uid="{48745140-B6C0-4564-9EFF-D749528736BD}" name="Faturado Acumulado" dataDxfId="41" totalsRowDxfId="40" dataCellStyle="Moeda">
      <calculatedColumnFormula>SUMIF('[1]Medição por SS'!$B:$B,Tabela1[[#This Row],[Número]],'[1]Medição por SS'!$E:$E)</calculatedColumnFormula>
    </tableColumn>
    <tableColumn id="14" xr3:uid="{31873D85-9E49-4138-B65E-A84151AA7F88}" name="Valor Saldo" dataDxfId="39" totalsRowDxfId="38">
      <calculatedColumnFormula>Tabela1[[#This Row],[Valor Global]]-Tabela1[[#This Row],[Faturado Acumulado]]</calculatedColumnFormula>
    </tableColumn>
    <tableColumn id="4" xr3:uid="{E57C7AF6-5AC8-4B8F-9578-81E6EBE0A148}" name="Tipo - SS" dataDxfId="37" totalsRowDxfId="36">
      <calculatedColumnFormula>VLOOKUP(Tabela1[[#This Row],[Número]],SAMC!A:F,4,0)</calculatedColumnFormula>
    </tableColumn>
    <tableColumn id="5" xr3:uid="{097DE9B5-797A-4C8D-BE30-9E44995E81A5}" name="Local de Execução de Serviço" dataDxfId="35" totalsRowDxfId="34">
      <calculatedColumnFormula>VLOOKUP(Tabela1[[#This Row],[Número]],SAMC!A:F,3,0)</calculatedColumnFormula>
    </tableColumn>
    <tableColumn id="7" xr3:uid="{984EB0C8-BBF7-4D52-A718-7F50A12963E6}" name="Início BL" dataDxfId="33" totalsRowDxfId="32"/>
    <tableColumn id="6" xr3:uid="{E94CF648-DEFB-4123-B27B-D96029E61AC0}" name="Término BL" dataDxfId="31" totalsRowDxfId="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61C-32C1-4E1C-9414-87E84DA10A15}">
  <dimension ref="A1:J46"/>
  <sheetViews>
    <sheetView topLeftCell="A16" zoomScaleNormal="100" workbookViewId="0">
      <selection activeCell="D11" sqref="D11"/>
    </sheetView>
  </sheetViews>
  <sheetFormatPr defaultRowHeight="14.5" x14ac:dyDescent="0.35"/>
  <cols>
    <col min="1" max="1" width="36.7265625" customWidth="1"/>
    <col min="2" max="2" width="18.54296875" bestFit="1" customWidth="1"/>
    <col min="3" max="3" width="2.36328125" customWidth="1"/>
    <col min="4" max="4" width="31.81640625" customWidth="1"/>
    <col min="5" max="5" width="12.54296875" bestFit="1" customWidth="1"/>
    <col min="6" max="30" width="11.36328125" bestFit="1" customWidth="1"/>
    <col min="31" max="31" width="10.36328125" bestFit="1" customWidth="1"/>
    <col min="32" max="36" width="11.36328125" bestFit="1" customWidth="1"/>
    <col min="37" max="37" width="10.36328125" bestFit="1" customWidth="1"/>
    <col min="38" max="54" width="11.36328125" bestFit="1" customWidth="1"/>
    <col min="55" max="55" width="9.36328125" bestFit="1" customWidth="1"/>
    <col min="56" max="61" width="11.36328125" bestFit="1" customWidth="1"/>
    <col min="62" max="62" width="9.36328125" bestFit="1" customWidth="1"/>
    <col min="63" max="65" width="10.36328125" bestFit="1" customWidth="1"/>
    <col min="66" max="66" width="9.36328125" bestFit="1" customWidth="1"/>
    <col min="67" max="73" width="10.36328125" bestFit="1" customWidth="1"/>
    <col min="74" max="74" width="9.36328125" bestFit="1" customWidth="1"/>
    <col min="75" max="84" width="10.36328125" bestFit="1" customWidth="1"/>
    <col min="85" max="85" width="9.36328125" bestFit="1" customWidth="1"/>
    <col min="86" max="111" width="10.36328125" bestFit="1" customWidth="1"/>
    <col min="112" max="112" width="9.36328125" bestFit="1" customWidth="1"/>
    <col min="113" max="122" width="10.36328125" bestFit="1" customWidth="1"/>
    <col min="123" max="124" width="9.36328125" bestFit="1" customWidth="1"/>
    <col min="125" max="136" width="10.36328125" bestFit="1" customWidth="1"/>
    <col min="137" max="137" width="9.7265625" bestFit="1" customWidth="1"/>
  </cols>
  <sheetData>
    <row r="1" spans="1:10" ht="28.5" x14ac:dyDescent="0.35">
      <c r="A1" s="120" t="s">
        <v>63</v>
      </c>
      <c r="B1" s="120"/>
      <c r="C1" s="120"/>
      <c r="D1" s="120"/>
      <c r="E1" s="120"/>
      <c r="F1" s="5"/>
      <c r="G1" s="5"/>
      <c r="H1" s="5"/>
      <c r="I1" s="5"/>
      <c r="J1" s="5"/>
    </row>
    <row r="2" spans="1:10" x14ac:dyDescent="0.35">
      <c r="A2" s="11"/>
      <c r="B2" s="11"/>
      <c r="C2" s="11"/>
      <c r="D2" s="11"/>
      <c r="E2" s="11"/>
      <c r="F2" s="5"/>
      <c r="G2" s="5"/>
      <c r="H2" s="5"/>
      <c r="I2" s="5"/>
      <c r="J2" s="5"/>
    </row>
    <row r="3" spans="1:10" x14ac:dyDescent="0.35">
      <c r="A3" s="121" t="s">
        <v>74</v>
      </c>
      <c r="B3" s="121"/>
      <c r="C3" s="121"/>
      <c r="D3" s="121"/>
      <c r="E3" s="121"/>
      <c r="F3" s="5"/>
      <c r="G3" s="5"/>
      <c r="H3" s="5"/>
      <c r="I3" s="5"/>
      <c r="J3" s="5"/>
    </row>
    <row r="4" spans="1:10" x14ac:dyDescent="0.35">
      <c r="A4" s="121"/>
      <c r="B4" s="121"/>
      <c r="C4" s="121"/>
      <c r="D4" s="121"/>
      <c r="E4" s="121"/>
      <c r="F4" s="5"/>
      <c r="G4" s="5"/>
      <c r="H4" s="5"/>
      <c r="I4" s="5"/>
      <c r="J4" s="5"/>
    </row>
    <row r="5" spans="1:10" x14ac:dyDescent="0.3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ht="29" x14ac:dyDescent="0.35">
      <c r="A6" s="15" t="s">
        <v>528</v>
      </c>
      <c r="B6" s="1" t="s">
        <v>62</v>
      </c>
      <c r="C6" s="5"/>
      <c r="D6" s="15" t="s">
        <v>528</v>
      </c>
      <c r="E6" s="25" t="s">
        <v>524</v>
      </c>
      <c r="F6" s="5"/>
      <c r="G6" s="5"/>
      <c r="H6" s="5"/>
      <c r="I6" s="5"/>
      <c r="J6" s="5"/>
    </row>
    <row r="7" spans="1:10" x14ac:dyDescent="0.35">
      <c r="A7" s="22" t="s">
        <v>271</v>
      </c>
      <c r="B7" s="23">
        <v>5944747.5241196444</v>
      </c>
      <c r="C7" s="5"/>
      <c r="D7" s="22" t="s">
        <v>271</v>
      </c>
      <c r="E7">
        <v>21</v>
      </c>
      <c r="F7" s="5"/>
      <c r="G7" s="5"/>
      <c r="H7" s="5"/>
      <c r="I7" s="5"/>
      <c r="J7" s="5"/>
    </row>
    <row r="8" spans="1:10" x14ac:dyDescent="0.35">
      <c r="A8" s="22" t="s">
        <v>523</v>
      </c>
      <c r="B8" s="23">
        <v>13337712.297520658</v>
      </c>
      <c r="C8" s="5"/>
      <c r="D8" s="22" t="s">
        <v>523</v>
      </c>
      <c r="E8">
        <v>19</v>
      </c>
      <c r="F8" s="5"/>
      <c r="G8" s="5"/>
      <c r="H8" s="5"/>
      <c r="I8" s="5"/>
      <c r="J8" s="5"/>
    </row>
    <row r="9" spans="1:10" x14ac:dyDescent="0.35">
      <c r="A9" s="22" t="s">
        <v>5</v>
      </c>
      <c r="B9" s="23">
        <v>0</v>
      </c>
      <c r="C9" s="5"/>
      <c r="D9" s="22" t="s">
        <v>5</v>
      </c>
      <c r="E9">
        <v>16</v>
      </c>
      <c r="F9" s="5"/>
      <c r="G9" s="5"/>
      <c r="H9" s="5"/>
      <c r="I9" s="5"/>
      <c r="J9" s="5"/>
    </row>
    <row r="10" spans="1:10" x14ac:dyDescent="0.35">
      <c r="A10" s="22" t="s">
        <v>22</v>
      </c>
      <c r="B10" s="23">
        <v>10624973.530680554</v>
      </c>
      <c r="C10" s="5"/>
      <c r="D10" s="22" t="s">
        <v>22</v>
      </c>
      <c r="E10">
        <v>42</v>
      </c>
      <c r="F10" s="5"/>
      <c r="G10" s="5"/>
      <c r="H10" s="5"/>
      <c r="I10" s="5"/>
      <c r="J10" s="5"/>
    </row>
    <row r="11" spans="1:10" x14ac:dyDescent="0.35">
      <c r="A11" s="22" t="s">
        <v>445</v>
      </c>
      <c r="B11" s="23">
        <v>2358365.832753066</v>
      </c>
      <c r="C11" s="5"/>
      <c r="D11" s="22" t="s">
        <v>445</v>
      </c>
      <c r="E11">
        <v>4</v>
      </c>
      <c r="F11" s="5"/>
      <c r="G11" s="5"/>
      <c r="H11" s="5"/>
      <c r="I11" s="5"/>
      <c r="J11" s="5"/>
    </row>
    <row r="12" spans="1:10" x14ac:dyDescent="0.35">
      <c r="A12" s="22" t="s">
        <v>13</v>
      </c>
      <c r="B12" s="23">
        <v>13935253.307182396</v>
      </c>
      <c r="C12" s="5"/>
      <c r="D12" s="22" t="s">
        <v>13</v>
      </c>
      <c r="E12">
        <v>14</v>
      </c>
      <c r="F12" s="5"/>
      <c r="G12" s="5"/>
      <c r="H12" s="5"/>
      <c r="I12" s="5"/>
      <c r="J12" s="5"/>
    </row>
    <row r="13" spans="1:10" x14ac:dyDescent="0.35">
      <c r="A13" s="22" t="s">
        <v>489</v>
      </c>
      <c r="B13" s="23">
        <v>1015728.6047262636</v>
      </c>
      <c r="C13" s="5"/>
      <c r="D13" s="22" t="s">
        <v>489</v>
      </c>
      <c r="E13">
        <v>3</v>
      </c>
      <c r="F13" s="5"/>
      <c r="G13" s="5"/>
      <c r="H13" s="5"/>
      <c r="I13" s="5"/>
      <c r="J13" s="5"/>
    </row>
    <row r="14" spans="1:10" x14ac:dyDescent="0.35">
      <c r="A14" s="22" t="s">
        <v>434</v>
      </c>
      <c r="B14" s="23">
        <v>977843.35868350463</v>
      </c>
      <c r="C14" s="5"/>
      <c r="D14" s="22" t="s">
        <v>434</v>
      </c>
      <c r="E14">
        <v>1</v>
      </c>
      <c r="F14" s="5"/>
      <c r="G14" s="5"/>
      <c r="H14" s="5"/>
      <c r="I14" s="5"/>
      <c r="J14" s="5"/>
    </row>
    <row r="15" spans="1:10" ht="19" customHeight="1" x14ac:dyDescent="0.35">
      <c r="A15" s="22" t="s">
        <v>61</v>
      </c>
      <c r="B15" s="23">
        <v>48194624.455666088</v>
      </c>
      <c r="C15" s="5"/>
      <c r="D15" s="22" t="s">
        <v>61</v>
      </c>
      <c r="E15">
        <v>120</v>
      </c>
      <c r="F15" s="5"/>
      <c r="G15" s="5"/>
      <c r="H15" s="5"/>
      <c r="I15" s="5"/>
      <c r="J15" s="5"/>
    </row>
    <row r="16" spans="1:10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ht="29" x14ac:dyDescent="0.35">
      <c r="A18" s="15" t="s">
        <v>58</v>
      </c>
      <c r="B18" s="1" t="s">
        <v>62</v>
      </c>
      <c r="C18" s="10"/>
      <c r="D18" s="15" t="s">
        <v>58</v>
      </c>
      <c r="E18" s="24" t="s">
        <v>529</v>
      </c>
      <c r="F18" s="5"/>
      <c r="G18" s="5"/>
      <c r="H18" s="5"/>
      <c r="I18" s="5"/>
      <c r="J18" s="5"/>
    </row>
    <row r="19" spans="1:10" x14ac:dyDescent="0.35">
      <c r="A19" s="22" t="s">
        <v>519</v>
      </c>
      <c r="B19" s="23">
        <v>13177656.269419305</v>
      </c>
      <c r="C19" s="5"/>
      <c r="D19" s="22" t="s">
        <v>519</v>
      </c>
      <c r="E19">
        <v>49</v>
      </c>
      <c r="F19" s="5"/>
      <c r="G19" s="5"/>
      <c r="H19" s="5"/>
      <c r="I19" s="5"/>
      <c r="J19" s="5"/>
    </row>
    <row r="20" spans="1:10" x14ac:dyDescent="0.35">
      <c r="A20" s="22" t="s">
        <v>520</v>
      </c>
      <c r="B20" s="23">
        <v>2733782.9074306265</v>
      </c>
      <c r="C20" s="5"/>
      <c r="D20" s="22" t="s">
        <v>520</v>
      </c>
      <c r="E20">
        <v>23</v>
      </c>
      <c r="F20" s="5"/>
      <c r="G20" s="5"/>
      <c r="H20" s="5"/>
      <c r="I20" s="5"/>
      <c r="J20" s="5"/>
    </row>
    <row r="21" spans="1:10" x14ac:dyDescent="0.35">
      <c r="A21" s="22" t="s">
        <v>521</v>
      </c>
      <c r="B21" s="23">
        <v>5520548.0631725313</v>
      </c>
      <c r="C21" s="5"/>
      <c r="D21" s="22" t="s">
        <v>521</v>
      </c>
      <c r="E21">
        <v>13</v>
      </c>
      <c r="F21" s="5"/>
      <c r="G21" s="5"/>
      <c r="H21" s="5"/>
      <c r="I21" s="5"/>
      <c r="J21" s="5"/>
    </row>
    <row r="22" spans="1:10" x14ac:dyDescent="0.35">
      <c r="A22" s="22" t="s">
        <v>699</v>
      </c>
      <c r="B22" s="23">
        <v>22536300.477351621</v>
      </c>
      <c r="C22" s="5"/>
      <c r="D22" s="22" t="s">
        <v>699</v>
      </c>
      <c r="E22">
        <v>30</v>
      </c>
      <c r="F22" s="5"/>
      <c r="G22" s="5"/>
      <c r="H22" s="5"/>
      <c r="I22" s="5"/>
      <c r="J22" s="5"/>
    </row>
    <row r="23" spans="1:10" x14ac:dyDescent="0.35">
      <c r="A23" s="22" t="s">
        <v>700</v>
      </c>
      <c r="B23" s="23">
        <v>4222385.9834710741</v>
      </c>
      <c r="C23" s="5"/>
      <c r="D23" s="22" t="s">
        <v>700</v>
      </c>
      <c r="E23">
        <v>5</v>
      </c>
      <c r="F23" s="5"/>
      <c r="G23" s="5"/>
      <c r="H23" s="5"/>
      <c r="I23" s="5"/>
      <c r="J23" s="5"/>
    </row>
    <row r="24" spans="1:10" x14ac:dyDescent="0.35">
      <c r="A24" s="22" t="s">
        <v>61</v>
      </c>
      <c r="B24" s="23">
        <v>48190673.70084516</v>
      </c>
      <c r="C24" s="5"/>
      <c r="D24" s="22" t="s">
        <v>61</v>
      </c>
      <c r="E24">
        <v>120</v>
      </c>
      <c r="F24" s="5"/>
      <c r="G24" s="5"/>
      <c r="H24" s="5"/>
      <c r="I24" s="5"/>
      <c r="J24" s="5"/>
    </row>
    <row r="25" spans="1:10" x14ac:dyDescent="0.35">
      <c r="C25" s="5"/>
      <c r="F25" s="5"/>
      <c r="G25" s="5"/>
      <c r="H25" s="5"/>
      <c r="I25" s="5"/>
      <c r="J25" s="5"/>
    </row>
    <row r="26" spans="1:10" x14ac:dyDescent="0.35">
      <c r="A26" s="5"/>
      <c r="B26" s="5"/>
      <c r="C26" s="5"/>
      <c r="D26" s="5"/>
      <c r="F26" s="5"/>
      <c r="G26" s="5"/>
      <c r="H26" s="5"/>
      <c r="I26" s="5"/>
      <c r="J26" s="5"/>
    </row>
    <row r="27" spans="1:10" x14ac:dyDescent="0.35">
      <c r="A27" s="21" t="s">
        <v>522</v>
      </c>
      <c r="B27" t="s">
        <v>62</v>
      </c>
      <c r="C27" s="5"/>
      <c r="D27" s="5"/>
      <c r="F27" s="5"/>
      <c r="G27" s="5"/>
      <c r="H27" s="5"/>
      <c r="I27" s="5"/>
      <c r="J27" s="5"/>
    </row>
    <row r="28" spans="1:10" x14ac:dyDescent="0.35">
      <c r="A28" s="22" t="s">
        <v>72</v>
      </c>
      <c r="B28" s="23">
        <v>13901736.072888006</v>
      </c>
      <c r="C28" s="5"/>
      <c r="D28" s="5"/>
      <c r="F28" s="5"/>
      <c r="G28" s="5"/>
      <c r="H28" s="5"/>
      <c r="I28" s="5"/>
      <c r="J28" s="5"/>
    </row>
    <row r="29" spans="1:10" x14ac:dyDescent="0.35">
      <c r="A29" s="22" t="s">
        <v>73</v>
      </c>
      <c r="B29" s="23">
        <v>34288937.62795715</v>
      </c>
      <c r="C29" s="5"/>
      <c r="D29" s="5"/>
      <c r="F29" s="5"/>
      <c r="G29" s="5"/>
      <c r="H29" s="5"/>
      <c r="I29" s="5"/>
      <c r="J29" s="5"/>
    </row>
    <row r="30" spans="1:10" x14ac:dyDescent="0.35">
      <c r="A30" s="22" t="s">
        <v>61</v>
      </c>
      <c r="B30" s="23">
        <v>48190673.700845152</v>
      </c>
      <c r="C30" s="5"/>
      <c r="D30" s="5"/>
      <c r="F30" s="5"/>
      <c r="G30" s="5"/>
      <c r="H30" s="5"/>
      <c r="I30" s="5"/>
      <c r="J30" s="5"/>
    </row>
    <row r="31" spans="1:10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x14ac:dyDescent="0.35">
      <c r="G46" s="5"/>
      <c r="H46" s="5"/>
      <c r="I46" s="5"/>
      <c r="J46" s="5"/>
    </row>
  </sheetData>
  <mergeCells count="2">
    <mergeCell ref="A1:E1"/>
    <mergeCell ref="A3:E4"/>
  </mergeCells>
  <pageMargins left="0.511811024" right="0.511811024" top="0.78740157499999996" bottom="0.78740157499999996" header="0.31496062000000002" footer="0.31496062000000002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0CAC1-7151-4EE2-96ED-253191A1F45B}">
  <dimension ref="A1:Y148"/>
  <sheetViews>
    <sheetView zoomScale="85" zoomScaleNormal="85" workbookViewId="0">
      <selection activeCell="D11" sqref="D11"/>
    </sheetView>
  </sheetViews>
  <sheetFormatPr defaultRowHeight="14.5" x14ac:dyDescent="0.35"/>
  <cols>
    <col min="1" max="1" width="40.54296875" customWidth="1"/>
    <col min="2" max="2" width="15.08984375" customWidth="1"/>
    <col min="3" max="3" width="4.36328125" customWidth="1"/>
    <col min="4" max="4" width="36.81640625" customWidth="1"/>
    <col min="5" max="5" width="13.7265625" customWidth="1"/>
    <col min="6" max="6" width="3.6328125" customWidth="1"/>
    <col min="7" max="7" width="19" bestFit="1" customWidth="1"/>
  </cols>
  <sheetData>
    <row r="1" spans="1:25" ht="28.5" x14ac:dyDescent="0.35">
      <c r="A1" s="120" t="s">
        <v>772</v>
      </c>
      <c r="B1" s="120"/>
      <c r="C1" s="120"/>
      <c r="D1" s="120"/>
      <c r="E1" s="120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5" x14ac:dyDescent="0.35">
      <c r="A2" s="11"/>
      <c r="B2" s="11"/>
      <c r="C2" s="11"/>
      <c r="D2" s="11"/>
      <c r="E2" s="11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5" x14ac:dyDescent="0.35">
      <c r="A3" s="121" t="s">
        <v>766</v>
      </c>
      <c r="B3" s="121"/>
      <c r="C3" s="121"/>
      <c r="D3" s="121"/>
      <c r="E3" s="121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5">
      <c r="A4" s="121"/>
      <c r="B4" s="121"/>
      <c r="C4" s="121"/>
      <c r="D4" s="121"/>
      <c r="E4" s="121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35">
      <c r="A6" s="21" t="s">
        <v>767</v>
      </c>
      <c r="B6" s="16" t="s">
        <v>768</v>
      </c>
      <c r="C6" s="5"/>
      <c r="D6" s="21" t="s">
        <v>769</v>
      </c>
      <c r="E6" s="16" t="s">
        <v>768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35">
      <c r="A7" s="22" t="s">
        <v>752</v>
      </c>
      <c r="B7" s="16">
        <v>28</v>
      </c>
      <c r="C7" s="5"/>
      <c r="D7" s="22" t="s">
        <v>752</v>
      </c>
      <c r="E7" s="16">
        <v>28</v>
      </c>
      <c r="F7" s="5"/>
      <c r="G7" s="104" t="s">
        <v>752</v>
      </c>
      <c r="H7" s="104">
        <f>GETPIVOTDATA("Status Obra",$A$6,"Status Obra","EM ANDAMENTO")</f>
        <v>28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35">
      <c r="A8" s="22" t="s">
        <v>757</v>
      </c>
      <c r="B8" s="16">
        <v>14</v>
      </c>
      <c r="C8" s="5"/>
      <c r="D8" s="103" t="s">
        <v>271</v>
      </c>
      <c r="E8" s="16">
        <v>3</v>
      </c>
      <c r="F8" s="5"/>
      <c r="G8" s="104" t="s">
        <v>771</v>
      </c>
      <c r="H8" s="104">
        <f>GETPIVOTDATA("Status Obra",$A$6,"Status Obra","EM PLANEJAMENTO")</f>
        <v>14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35">
      <c r="A9" s="22" t="s">
        <v>758</v>
      </c>
      <c r="B9" s="16">
        <v>15</v>
      </c>
      <c r="C9" s="5"/>
      <c r="D9" s="103" t="s">
        <v>523</v>
      </c>
      <c r="E9" s="16">
        <v>4</v>
      </c>
      <c r="F9" s="5"/>
      <c r="G9" s="104" t="s">
        <v>770</v>
      </c>
      <c r="H9" s="104">
        <f>GETPIVOTDATA("Status Obra",$A$6,"Status Obra","EM REPLANEJAMENTO")</f>
        <v>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35">
      <c r="A10" s="101" t="s">
        <v>754</v>
      </c>
      <c r="B10" s="105">
        <v>3</v>
      </c>
      <c r="C10" s="5"/>
      <c r="D10" s="103" t="s">
        <v>22</v>
      </c>
      <c r="E10" s="16">
        <v>15</v>
      </c>
      <c r="F10" s="5"/>
      <c r="G10" s="104" t="s">
        <v>754</v>
      </c>
      <c r="H10" s="104">
        <f>GETPIVOTDATA("Status Obra",$A$6,"Status Obra","INICIO ATRASADO")</f>
        <v>3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35">
      <c r="A11" s="102" t="s">
        <v>753</v>
      </c>
      <c r="B11" s="106">
        <v>15</v>
      </c>
      <c r="C11" s="5"/>
      <c r="D11" s="103" t="s">
        <v>445</v>
      </c>
      <c r="E11" s="16">
        <v>1</v>
      </c>
      <c r="F11" s="5"/>
      <c r="G11" s="104" t="s">
        <v>753</v>
      </c>
      <c r="H11" s="104">
        <f>GETPIVOTDATA("Status Obra",$A$6,"Status Obra","INICIO CURTO PRAZO")</f>
        <v>15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35">
      <c r="A12" s="22" t="s">
        <v>755</v>
      </c>
      <c r="B12" s="16">
        <v>2</v>
      </c>
      <c r="C12" s="5"/>
      <c r="D12" s="103" t="s">
        <v>13</v>
      </c>
      <c r="E12" s="16">
        <v>4</v>
      </c>
      <c r="F12" s="5"/>
      <c r="G12" s="104" t="s">
        <v>755</v>
      </c>
      <c r="H12" s="104">
        <f>GETPIVOTDATA("Status Obra",$A$6,"Status Obra","INICIO MEDIO PRAZO")</f>
        <v>2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35">
      <c r="A13" s="22" t="s">
        <v>533</v>
      </c>
      <c r="B13" s="16">
        <v>14</v>
      </c>
      <c r="C13" s="5"/>
      <c r="D13" s="103" t="s">
        <v>489</v>
      </c>
      <c r="E13" s="16">
        <v>1</v>
      </c>
      <c r="F13" s="5"/>
      <c r="G13" s="104" t="s">
        <v>533</v>
      </c>
      <c r="H13" s="104">
        <v>14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5">
      <c r="A14" s="22" t="s">
        <v>765</v>
      </c>
      <c r="B14" s="16">
        <v>6</v>
      </c>
      <c r="C14" s="5"/>
      <c r="D14" s="22" t="s">
        <v>757</v>
      </c>
      <c r="E14" s="16">
        <v>14</v>
      </c>
      <c r="F14" s="5"/>
      <c r="G14" s="104" t="s">
        <v>765</v>
      </c>
      <c r="H14" s="104">
        <v>6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5">
      <c r="A15" s="22" t="s">
        <v>764</v>
      </c>
      <c r="B15" s="16">
        <v>14</v>
      </c>
      <c r="C15" s="5"/>
      <c r="D15" s="103" t="s">
        <v>5</v>
      </c>
      <c r="E15" s="16">
        <v>14</v>
      </c>
      <c r="F15" s="5"/>
      <c r="G15" s="104" t="s">
        <v>764</v>
      </c>
      <c r="H15" s="104">
        <v>14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5">
      <c r="A16" s="22" t="s">
        <v>751</v>
      </c>
      <c r="B16" s="16">
        <v>1</v>
      </c>
      <c r="C16" s="5"/>
      <c r="D16" s="22" t="s">
        <v>758</v>
      </c>
      <c r="E16" s="16">
        <v>15</v>
      </c>
      <c r="F16" s="5"/>
      <c r="G16" s="104" t="s">
        <v>751</v>
      </c>
      <c r="H16" s="104">
        <v>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5">
      <c r="A17" s="22" t="s">
        <v>756</v>
      </c>
      <c r="B17" s="16">
        <v>8</v>
      </c>
      <c r="C17" s="5"/>
      <c r="D17" s="103" t="s">
        <v>271</v>
      </c>
      <c r="E17" s="16">
        <v>1</v>
      </c>
      <c r="F17" s="5"/>
      <c r="G17" s="104" t="s">
        <v>756</v>
      </c>
      <c r="H17" s="104">
        <v>8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5">
      <c r="A18" s="22" t="s">
        <v>61</v>
      </c>
      <c r="B18" s="16">
        <v>120</v>
      </c>
      <c r="C18" s="5"/>
      <c r="D18" s="103" t="s">
        <v>434</v>
      </c>
      <c r="E18" s="16">
        <v>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5">
      <c r="A19" s="5"/>
      <c r="B19" s="5"/>
      <c r="C19" s="5"/>
      <c r="D19" s="103" t="s">
        <v>523</v>
      </c>
      <c r="E19" s="16">
        <v>1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5">
      <c r="A20" s="5"/>
      <c r="B20" s="5"/>
      <c r="C20" s="5"/>
      <c r="D20" s="103" t="s">
        <v>22</v>
      </c>
      <c r="E20" s="16">
        <v>10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5">
      <c r="A21" s="5"/>
      <c r="B21" s="5"/>
      <c r="C21" s="5"/>
      <c r="D21" s="103" t="s">
        <v>445</v>
      </c>
      <c r="E21" s="16">
        <v>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5">
      <c r="A22" s="5"/>
      <c r="B22" s="81"/>
      <c r="C22" s="5"/>
      <c r="D22" s="103" t="s">
        <v>489</v>
      </c>
      <c r="E22" s="16">
        <v>1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5">
      <c r="A23" s="5"/>
      <c r="B23" s="81"/>
      <c r="C23" s="5"/>
      <c r="D23" s="101" t="s">
        <v>754</v>
      </c>
      <c r="E23" s="105">
        <v>3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5">
      <c r="A24" s="5"/>
      <c r="B24" s="81"/>
      <c r="C24" s="5"/>
      <c r="D24" s="103" t="s">
        <v>271</v>
      </c>
      <c r="E24" s="16">
        <v>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5">
      <c r="A25" s="5"/>
      <c r="B25" s="81"/>
      <c r="C25" s="5"/>
      <c r="D25" s="102" t="s">
        <v>753</v>
      </c>
      <c r="E25" s="106">
        <v>15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5">
      <c r="A26" s="5"/>
      <c r="B26" s="81"/>
      <c r="C26" s="5"/>
      <c r="D26" s="103" t="s">
        <v>271</v>
      </c>
      <c r="E26" s="16">
        <v>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35">
      <c r="A27" s="5"/>
      <c r="B27" s="81"/>
      <c r="C27" s="5"/>
      <c r="D27" s="103" t="s">
        <v>523</v>
      </c>
      <c r="E27" s="16">
        <v>8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35">
      <c r="A28" s="5"/>
      <c r="B28" s="81"/>
      <c r="C28" s="5"/>
      <c r="D28" s="103" t="s">
        <v>13</v>
      </c>
      <c r="E28" s="16">
        <v>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35">
      <c r="A29" s="5"/>
      <c r="B29" s="81"/>
      <c r="C29" s="5"/>
      <c r="D29" s="22" t="s">
        <v>755</v>
      </c>
      <c r="E29" s="16">
        <v>2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35">
      <c r="A30" s="5"/>
      <c r="B30" s="81"/>
      <c r="C30" s="5"/>
      <c r="D30" s="103" t="s">
        <v>523</v>
      </c>
      <c r="E30" s="16">
        <v>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35">
      <c r="A31" s="5"/>
      <c r="B31" s="81"/>
      <c r="C31" s="5"/>
      <c r="D31" s="103" t="s">
        <v>13</v>
      </c>
      <c r="E31" s="16">
        <v>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35">
      <c r="A32" s="5"/>
      <c r="B32" s="81"/>
      <c r="C32" s="5"/>
      <c r="D32" s="22" t="s">
        <v>533</v>
      </c>
      <c r="E32" s="16">
        <v>14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35">
      <c r="A33" s="5"/>
      <c r="B33" s="81"/>
      <c r="C33" s="5"/>
      <c r="D33" s="103" t="s">
        <v>271</v>
      </c>
      <c r="E33" s="16">
        <v>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35">
      <c r="A34" s="5"/>
      <c r="B34" s="81"/>
      <c r="C34" s="5"/>
      <c r="D34" s="103" t="s">
        <v>5</v>
      </c>
      <c r="E34" s="16">
        <v>2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35">
      <c r="A35" s="5"/>
      <c r="B35" s="81"/>
      <c r="C35" s="5"/>
      <c r="D35" s="103" t="s">
        <v>22</v>
      </c>
      <c r="E35" s="16">
        <v>6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35">
      <c r="A36" s="5"/>
      <c r="B36" s="81"/>
      <c r="C36" s="5"/>
      <c r="D36" s="103" t="s">
        <v>445</v>
      </c>
      <c r="E36" s="16">
        <v>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35">
      <c r="A37" s="5"/>
      <c r="B37" s="5"/>
      <c r="C37" s="5"/>
      <c r="D37" s="103" t="s">
        <v>13</v>
      </c>
      <c r="E37" s="16">
        <v>3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35">
      <c r="A38" s="5"/>
      <c r="B38" s="5"/>
      <c r="C38" s="5"/>
      <c r="D38" s="103" t="s">
        <v>489</v>
      </c>
      <c r="E38" s="16">
        <v>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35">
      <c r="A39" s="5"/>
      <c r="B39" s="5"/>
      <c r="C39" s="5"/>
      <c r="D39" s="22" t="s">
        <v>765</v>
      </c>
      <c r="E39" s="16">
        <v>6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35">
      <c r="A40" s="5"/>
      <c r="B40" s="5"/>
      <c r="C40" s="5"/>
      <c r="D40" s="103" t="s">
        <v>271</v>
      </c>
      <c r="E40" s="16">
        <v>1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35">
      <c r="A41" s="5"/>
      <c r="B41" s="5"/>
      <c r="C41" s="5"/>
      <c r="D41" s="103" t="s">
        <v>22</v>
      </c>
      <c r="E41" s="16">
        <v>4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35">
      <c r="A42" s="5"/>
      <c r="B42" s="5"/>
      <c r="C42" s="5"/>
      <c r="D42" s="103" t="s">
        <v>13</v>
      </c>
      <c r="E42" s="16">
        <v>1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35">
      <c r="A43" s="5"/>
      <c r="B43" s="5"/>
      <c r="C43" s="5"/>
      <c r="D43" s="22" t="s">
        <v>764</v>
      </c>
      <c r="E43" s="16">
        <v>14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35">
      <c r="A44" s="5"/>
      <c r="B44" s="5"/>
      <c r="C44" s="5"/>
      <c r="D44" s="103" t="s">
        <v>271</v>
      </c>
      <c r="E44" s="16">
        <v>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35">
      <c r="A45" s="5"/>
      <c r="B45" s="5"/>
      <c r="C45" s="5"/>
      <c r="D45" s="103" t="s">
        <v>523</v>
      </c>
      <c r="E45" s="16">
        <v>4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35">
      <c r="A46" s="5"/>
      <c r="B46" s="5"/>
      <c r="C46" s="5"/>
      <c r="D46" s="103" t="s">
        <v>22</v>
      </c>
      <c r="E46" s="16">
        <v>1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35">
      <c r="A47" s="5"/>
      <c r="B47" s="5"/>
      <c r="C47" s="5"/>
      <c r="D47" s="103" t="s">
        <v>13</v>
      </c>
      <c r="E47" s="16">
        <v>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35">
      <c r="A48" s="5"/>
      <c r="B48" s="5"/>
      <c r="C48" s="5"/>
      <c r="D48" s="22" t="s">
        <v>751</v>
      </c>
      <c r="E48" s="16">
        <v>1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35">
      <c r="A49" s="5"/>
      <c r="B49" s="5"/>
      <c r="C49" s="5"/>
      <c r="D49" s="103" t="s">
        <v>445</v>
      </c>
      <c r="E49" s="16">
        <v>1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35">
      <c r="A50" s="5"/>
      <c r="B50" s="5"/>
      <c r="C50" s="5"/>
      <c r="D50" s="22" t="s">
        <v>756</v>
      </c>
      <c r="E50" s="16">
        <v>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35">
      <c r="A51" s="5"/>
      <c r="B51" s="5"/>
      <c r="C51" s="5"/>
      <c r="D51" s="103" t="s">
        <v>523</v>
      </c>
      <c r="E51" s="16">
        <v>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35">
      <c r="A52" s="5"/>
      <c r="B52" s="5"/>
      <c r="C52" s="5"/>
      <c r="D52" s="103" t="s">
        <v>22</v>
      </c>
      <c r="E52" s="16">
        <v>6</v>
      </c>
      <c r="F52" s="5"/>
      <c r="G52" s="5"/>
      <c r="H52" s="5"/>
      <c r="I52" s="5"/>
      <c r="J52" s="5"/>
      <c r="K52" s="5"/>
      <c r="L52" s="5"/>
    </row>
    <row r="53" spans="1:25" x14ac:dyDescent="0.35">
      <c r="A53" s="5"/>
      <c r="B53" s="5"/>
      <c r="C53" s="5"/>
      <c r="D53" s="103" t="s">
        <v>13</v>
      </c>
      <c r="E53" s="16">
        <v>1</v>
      </c>
      <c r="F53" s="5"/>
      <c r="G53" s="5"/>
      <c r="H53" s="5"/>
      <c r="I53" s="5"/>
      <c r="J53" s="5"/>
      <c r="K53" s="5"/>
      <c r="L53" s="5"/>
    </row>
    <row r="54" spans="1:25" x14ac:dyDescent="0.35">
      <c r="A54" s="5"/>
      <c r="B54" s="5"/>
      <c r="C54" s="5"/>
      <c r="D54" s="22" t="s">
        <v>61</v>
      </c>
      <c r="E54" s="16">
        <v>120</v>
      </c>
      <c r="F54" s="5"/>
      <c r="G54" s="5"/>
      <c r="H54" s="5"/>
      <c r="I54" s="5"/>
      <c r="J54" s="5"/>
      <c r="K54" s="5"/>
      <c r="L54" s="5"/>
    </row>
    <row r="55" spans="1:25" x14ac:dyDescent="0.35">
      <c r="A55" s="5"/>
      <c r="B55" s="5"/>
      <c r="C55" s="5"/>
      <c r="F55" s="5"/>
      <c r="G55" s="5"/>
      <c r="H55" s="5"/>
      <c r="I55" s="5"/>
      <c r="J55" s="5"/>
      <c r="K55" s="5"/>
      <c r="L55" s="5"/>
    </row>
    <row r="56" spans="1:25" x14ac:dyDescent="0.35">
      <c r="A56" s="5"/>
      <c r="B56" s="5"/>
      <c r="C56" s="5"/>
      <c r="F56" s="5"/>
      <c r="G56" s="5"/>
      <c r="H56" s="5"/>
      <c r="I56" s="5"/>
      <c r="J56" s="5"/>
      <c r="K56" s="5"/>
      <c r="L56" s="5"/>
    </row>
    <row r="57" spans="1:25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25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25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25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25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25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25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25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</sheetData>
  <mergeCells count="2">
    <mergeCell ref="A1:E1"/>
    <mergeCell ref="A3:E4"/>
  </mergeCells>
  <pageMargins left="0.511811024" right="0.511811024" top="0.78740157499999996" bottom="0.78740157499999996" header="0.31496062000000002" footer="0.31496062000000002"/>
  <pageSetup paperSize="9" orientation="portrait" r:id="rId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3A68C-3E2E-4176-A922-953A98E7037F}">
  <sheetPr>
    <pageSetUpPr fitToPage="1"/>
  </sheetPr>
  <dimension ref="A1:L204"/>
  <sheetViews>
    <sheetView tabSelected="1" zoomScale="85" zoomScaleNormal="8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4" sqref="B4"/>
    </sheetView>
  </sheetViews>
  <sheetFormatPr defaultRowHeight="14.5" x14ac:dyDescent="0.35"/>
  <cols>
    <col min="1" max="1" width="11.36328125" style="12" customWidth="1"/>
    <col min="2" max="2" width="82.7265625" style="1" customWidth="1"/>
    <col min="3" max="3" width="11.08984375" style="2" customWidth="1"/>
    <col min="4" max="4" width="30" style="2" customWidth="1"/>
    <col min="5" max="5" width="17.08984375" style="2" bestFit="1" customWidth="1"/>
    <col min="6" max="6" width="17.1796875" style="2" customWidth="1"/>
    <col min="7" max="7" width="19.54296875" style="2" customWidth="1"/>
    <col min="8" max="8" width="22.453125" style="2" customWidth="1"/>
    <col min="9" max="9" width="38.08984375" style="1" customWidth="1"/>
    <col min="10" max="10" width="13.36328125" style="2" hidden="1" customWidth="1"/>
    <col min="11" max="11" width="12.7265625" style="2" hidden="1" customWidth="1"/>
    <col min="12" max="16384" width="8.7265625" style="1"/>
  </cols>
  <sheetData>
    <row r="1" spans="1:11" ht="27.5" customHeight="1" x14ac:dyDescent="0.35">
      <c r="A1" s="13" t="s">
        <v>0</v>
      </c>
      <c r="B1" s="4" t="s">
        <v>1</v>
      </c>
      <c r="C1" s="3" t="s">
        <v>71</v>
      </c>
      <c r="D1" s="3" t="s">
        <v>518</v>
      </c>
      <c r="E1" s="3" t="s">
        <v>60</v>
      </c>
      <c r="F1" s="9" t="s">
        <v>113</v>
      </c>
      <c r="G1" s="3" t="s">
        <v>59</v>
      </c>
      <c r="H1" s="3" t="s">
        <v>1102</v>
      </c>
      <c r="I1" s="4" t="s">
        <v>2</v>
      </c>
      <c r="J1" s="3" t="s">
        <v>701</v>
      </c>
      <c r="K1" s="3" t="s">
        <v>702</v>
      </c>
    </row>
    <row r="2" spans="1:11" s="19" customFormat="1" x14ac:dyDescent="0.35">
      <c r="A2" s="12" t="s">
        <v>37</v>
      </c>
      <c r="B2" s="1" t="s">
        <v>1082</v>
      </c>
      <c r="C2" s="6" t="s">
        <v>73</v>
      </c>
      <c r="D2" s="2" t="str">
        <f>VLOOKUP(Tabela1[[#This Row],[Número]],SAMC!A:F,6,0)</f>
        <v>Em andamento</v>
      </c>
      <c r="E2" s="7">
        <v>738262.96293634421</v>
      </c>
      <c r="F2" s="7">
        <v>473057.67664183228</v>
      </c>
      <c r="G2" s="8">
        <f>Tabela1[[#This Row],[Valor Global]]-Tabela1[[#This Row],[Faturado Acumulado]]</f>
        <v>265205.28629451193</v>
      </c>
      <c r="H2" s="2" t="str">
        <f>VLOOKUP(Tabela1[[#This Row],[Número]],SAMC!A:F,4,0)</f>
        <v>Civil</v>
      </c>
      <c r="I2" s="1" t="str">
        <f>VLOOKUP(Tabela1[[#This Row],[Número]],SAMC!A:F,3,0)</f>
        <v>Civil (projeto e manutenção civil) - Betim</v>
      </c>
      <c r="J2" s="28"/>
      <c r="K2" s="28"/>
    </row>
    <row r="3" spans="1:11" s="19" customFormat="1" x14ac:dyDescent="0.35">
      <c r="A3" s="12" t="s">
        <v>35</v>
      </c>
      <c r="B3" s="1" t="s">
        <v>1081</v>
      </c>
      <c r="C3" s="6" t="s">
        <v>73</v>
      </c>
      <c r="D3" s="2" t="str">
        <f>VLOOKUP(Tabela1[[#This Row],[Número]],SAMC!A:F,6,0)</f>
        <v>Em andamento</v>
      </c>
      <c r="E3" s="7">
        <v>3271160.546677297</v>
      </c>
      <c r="F3" s="7">
        <v>2621074.1124711535</v>
      </c>
      <c r="G3" s="8">
        <f>Tabela1[[#This Row],[Valor Global]]-Tabela1[[#This Row],[Faturado Acumulado]]</f>
        <v>650086.43420614349</v>
      </c>
      <c r="H3" s="6" t="str">
        <f>VLOOKUP(Tabela1[[#This Row],[Número]],SAMC!A:F,4,0)</f>
        <v>Civil</v>
      </c>
      <c r="I3" s="1" t="str">
        <f>VLOOKUP(Tabela1[[#This Row],[Número]],SAMC!A:F,3,0)</f>
        <v>Civil (projeto e manutenção civil) - Betim</v>
      </c>
      <c r="J3" s="28"/>
      <c r="K3" s="28"/>
    </row>
    <row r="4" spans="1:11" s="19" customFormat="1" x14ac:dyDescent="0.35">
      <c r="A4" s="12" t="s">
        <v>33</v>
      </c>
      <c r="B4" s="1" t="s">
        <v>1080</v>
      </c>
      <c r="C4" s="6" t="s">
        <v>73</v>
      </c>
      <c r="D4" s="2" t="str">
        <f>VLOOKUP(Tabela1[[#This Row],[Número]],SAMC!A:F,6,0)</f>
        <v>Em andamento</v>
      </c>
      <c r="E4" s="7">
        <v>1007169.5428347597</v>
      </c>
      <c r="F4" s="27">
        <v>766312.69114358549</v>
      </c>
      <c r="G4" s="8">
        <f>Tabela1[[#This Row],[Valor Global]]-Tabela1[[#This Row],[Faturado Acumulado]]</f>
        <v>240856.8516911742</v>
      </c>
      <c r="H4" s="6" t="str">
        <f>VLOOKUP(Tabela1[[#This Row],[Número]],SAMC!A:F,4,0)</f>
        <v>Elétrica e Instrumentação</v>
      </c>
      <c r="I4" s="1" t="str">
        <f>VLOOKUP(Tabela1[[#This Row],[Número]],SAMC!A:F,3,0)</f>
        <v>Elétrica e Instrumentação- Betim</v>
      </c>
      <c r="J4" s="28"/>
      <c r="K4" s="28"/>
    </row>
    <row r="5" spans="1:11" s="19" customFormat="1" x14ac:dyDescent="0.35">
      <c r="A5" s="12" t="s">
        <v>31</v>
      </c>
      <c r="B5" s="1" t="s">
        <v>32</v>
      </c>
      <c r="C5" s="6" t="s">
        <v>73</v>
      </c>
      <c r="D5" s="6" t="str">
        <f>VLOOKUP(Tabela1[[#This Row],[Número]],SAMC!A:F,6,0)</f>
        <v>Em andamento</v>
      </c>
      <c r="E5" s="7">
        <v>218906.27655135829</v>
      </c>
      <c r="F5" s="7">
        <v>32603.101513861202</v>
      </c>
      <c r="G5" s="8">
        <f>Tabela1[[#This Row],[Valor Global]]-Tabela1[[#This Row],[Faturado Acumulado]]</f>
        <v>186303.17503749707</v>
      </c>
      <c r="H5" s="6" t="str">
        <f>VLOOKUP(Tabela1[[#This Row],[Número]],SAMC!A:F,4,0)</f>
        <v>Civil</v>
      </c>
      <c r="I5" s="1" t="str">
        <f>VLOOKUP(Tabela1[[#This Row],[Número]],SAMC!A:F,3,0)</f>
        <v>Civil (projeto e manutenção civil) - Betim</v>
      </c>
      <c r="J5" s="28"/>
      <c r="K5" s="28"/>
    </row>
    <row r="6" spans="1:11" s="19" customFormat="1" x14ac:dyDescent="0.35">
      <c r="A6" s="12" t="s">
        <v>29</v>
      </c>
      <c r="B6" s="1" t="s">
        <v>1079</v>
      </c>
      <c r="C6" s="6" t="s">
        <v>73</v>
      </c>
      <c r="D6" s="6" t="str">
        <f>VLOOKUP(Tabela1[[#This Row],[Número]],SAMC!A:F,6,0)</f>
        <v>Em andamento</v>
      </c>
      <c r="E6" s="7">
        <v>5974363.8099999996</v>
      </c>
      <c r="F6" s="7">
        <v>4687938.5532119349</v>
      </c>
      <c r="G6" s="8">
        <f>Tabela1[[#This Row],[Valor Global]]-Tabela1[[#This Row],[Faturado Acumulado]]</f>
        <v>1286425.2567880647</v>
      </c>
      <c r="H6" s="6" t="str">
        <f>VLOOKUP(Tabela1[[#This Row],[Número]],SAMC!A:F,4,0)</f>
        <v>Civil</v>
      </c>
      <c r="I6" s="1" t="str">
        <f>VLOOKUP(Tabela1[[#This Row],[Número]],SAMC!A:F,3,0)</f>
        <v>Civil (projeto e manutenção civil) - Betim</v>
      </c>
      <c r="J6" s="28"/>
      <c r="K6" s="28"/>
    </row>
    <row r="7" spans="1:11" s="19" customFormat="1" x14ac:dyDescent="0.35">
      <c r="A7" s="12" t="s">
        <v>27</v>
      </c>
      <c r="B7" s="1" t="s">
        <v>28</v>
      </c>
      <c r="C7" s="6" t="s">
        <v>73</v>
      </c>
      <c r="D7" s="6" t="str">
        <f>VLOOKUP(Tabela1[[#This Row],[Número]],SAMC!A:F,6,0)</f>
        <v>Em Revisão</v>
      </c>
      <c r="E7" s="7">
        <f>1646241.24/0.9075</f>
        <v>1814039.9338842975</v>
      </c>
      <c r="F7" s="7">
        <v>551331.86789106997</v>
      </c>
      <c r="G7" s="8">
        <f>Tabela1[[#This Row],[Valor Global]]-Tabela1[[#This Row],[Faturado Acumulado]]</f>
        <v>1262708.0659932275</v>
      </c>
      <c r="H7" s="6" t="str">
        <f>VLOOKUP(Tabela1[[#This Row],[Número]],SAMC!A:F,4,0)</f>
        <v>Civil</v>
      </c>
      <c r="I7" s="1" t="str">
        <f>VLOOKUP(Tabela1[[#This Row],[Número]],SAMC!A:F,3,0)</f>
        <v>Civil (projeto e manutenção civil) - Betim</v>
      </c>
      <c r="J7" s="28"/>
      <c r="K7" s="28"/>
    </row>
    <row r="8" spans="1:11" s="19" customFormat="1" x14ac:dyDescent="0.35">
      <c r="A8" s="12" t="s">
        <v>16</v>
      </c>
      <c r="B8" s="1" t="s">
        <v>17</v>
      </c>
      <c r="C8" s="6" t="s">
        <v>72</v>
      </c>
      <c r="D8" s="6" t="str">
        <f>VLOOKUP(Tabela1[[#This Row],[Número]],SAMC!A:F,6,0)</f>
        <v>Aguardando classif contabil</v>
      </c>
      <c r="E8" s="7">
        <v>643934.46</v>
      </c>
      <c r="F8" s="7">
        <v>0</v>
      </c>
      <c r="G8" s="8">
        <f>Tabela1[[#This Row],[Valor Global]]-Tabela1[[#This Row],[Faturado Acumulado]]</f>
        <v>643934.46</v>
      </c>
      <c r="H8" s="6" t="str">
        <f>VLOOKUP(Tabela1[[#This Row],[Número]],SAMC!A:F,4,0)</f>
        <v>Civil</v>
      </c>
      <c r="I8" s="1" t="str">
        <f>VLOOKUP(Tabela1[[#This Row],[Número]],SAMC!A:F,3,0)</f>
        <v>CIVIL (Projetos e Monit e Manutenção de Barragem) - Ibirité</v>
      </c>
      <c r="J8" s="28"/>
      <c r="K8" s="28"/>
    </row>
    <row r="9" spans="1:11" s="19" customFormat="1" x14ac:dyDescent="0.35">
      <c r="A9" s="12" t="s">
        <v>14</v>
      </c>
      <c r="B9" s="1" t="s">
        <v>15</v>
      </c>
      <c r="C9" s="6" t="s">
        <v>73</v>
      </c>
      <c r="D9" s="6" t="str">
        <f>VLOOKUP(Tabela1[[#This Row],[Número]],SAMC!A:F,6,0)</f>
        <v>Em Andamento</v>
      </c>
      <c r="E9" s="7">
        <v>566916.41</v>
      </c>
      <c r="F9" s="7">
        <v>84235.629879408487</v>
      </c>
      <c r="G9" s="8">
        <f>Tabela1[[#This Row],[Valor Global]]-Tabela1[[#This Row],[Faturado Acumulado]]</f>
        <v>482680.78012059152</v>
      </c>
      <c r="H9" s="6" t="str">
        <f>VLOOKUP(Tabela1[[#This Row],[Número]],SAMC!A:F,4,0)</f>
        <v>Mecânica e Caldeiraria</v>
      </c>
      <c r="I9" s="1" t="str">
        <f>VLOOKUP(Tabela1[[#This Row],[Número]],SAMC!A:F,3,0)</f>
        <v>Mecânica - Betim</v>
      </c>
      <c r="J9" s="28"/>
      <c r="K9" s="28"/>
    </row>
    <row r="10" spans="1:11" s="19" customFormat="1" x14ac:dyDescent="0.35">
      <c r="A10" s="12" t="s">
        <v>11</v>
      </c>
      <c r="B10" s="1" t="s">
        <v>441</v>
      </c>
      <c r="C10" s="6" t="s">
        <v>73</v>
      </c>
      <c r="D10" s="6" t="str">
        <f>VLOOKUP(Tabela1[[#This Row],[Número]],SAMC!A:F,6,0)</f>
        <v>Em Revisão</v>
      </c>
      <c r="E10" s="7">
        <v>1066348.1299625186</v>
      </c>
      <c r="F10" s="7">
        <v>391705.25007348118</v>
      </c>
      <c r="G10" s="8">
        <f>Tabela1[[#This Row],[Valor Global]]-Tabela1[[#This Row],[Faturado Acumulado]]</f>
        <v>674642.87988903746</v>
      </c>
      <c r="H10" s="6" t="str">
        <f>VLOOKUP(Tabela1[[#This Row],[Número]],SAMC!A:F,4,0)</f>
        <v>Mecânica e Caldeiraria</v>
      </c>
      <c r="I10" s="1" t="str">
        <f>VLOOKUP(Tabela1[[#This Row],[Número]],SAMC!A:F,3,0)</f>
        <v>Mecânica - Betim</v>
      </c>
      <c r="J10" s="28"/>
      <c r="K10" s="28"/>
    </row>
    <row r="11" spans="1:11" s="19" customFormat="1" x14ac:dyDescent="0.35">
      <c r="A11" s="12" t="s">
        <v>10</v>
      </c>
      <c r="B11" s="1" t="s">
        <v>440</v>
      </c>
      <c r="C11" s="6" t="s">
        <v>73</v>
      </c>
      <c r="D11" s="6" t="str">
        <f>VLOOKUP(Tabela1[[#This Row],[Número]],SAMC!A:F,6,0)</f>
        <v>Em Revisão</v>
      </c>
      <c r="E11" s="7">
        <v>1384640.1762510776</v>
      </c>
      <c r="F11" s="7">
        <v>361658.90373106406</v>
      </c>
      <c r="G11" s="8">
        <f>Tabela1[[#This Row],[Valor Global]]-Tabela1[[#This Row],[Faturado Acumulado]]</f>
        <v>1022981.2725200135</v>
      </c>
      <c r="H11" s="6" t="str">
        <f>VLOOKUP(Tabela1[[#This Row],[Número]],SAMC!A:F,4,0)</f>
        <v>Mecânica e Caldeiraria</v>
      </c>
      <c r="I11" s="1" t="str">
        <f>VLOOKUP(Tabela1[[#This Row],[Número]],SAMC!A:F,3,0)</f>
        <v>Mecânica - Betim</v>
      </c>
      <c r="J11" s="28"/>
      <c r="K11" s="28"/>
    </row>
    <row r="12" spans="1:11" s="19" customFormat="1" x14ac:dyDescent="0.35">
      <c r="A12" s="12" t="s">
        <v>9</v>
      </c>
      <c r="B12" s="1" t="s">
        <v>439</v>
      </c>
      <c r="C12" s="6" t="s">
        <v>73</v>
      </c>
      <c r="D12" s="6" t="str">
        <f>VLOOKUP(Tabela1[[#This Row],[Número]],SAMC!A:F,6,0)</f>
        <v>Em Revisão</v>
      </c>
      <c r="E12" s="7">
        <v>1281329.4994777725</v>
      </c>
      <c r="F12" s="7">
        <v>485315.66309255949</v>
      </c>
      <c r="G12" s="8">
        <f>Tabela1[[#This Row],[Valor Global]]-Tabela1[[#This Row],[Faturado Acumulado]]</f>
        <v>796013.83638521307</v>
      </c>
      <c r="H12" s="6" t="str">
        <f>VLOOKUP(Tabela1[[#This Row],[Número]],SAMC!A:F,4,0)</f>
        <v>Mecânica e Caldeiraria</v>
      </c>
      <c r="I12" s="1" t="str">
        <f>VLOOKUP(Tabela1[[#This Row],[Número]],SAMC!A:F,3,0)</f>
        <v>Mecânica - Betim</v>
      </c>
      <c r="J12" s="28"/>
      <c r="K12" s="28"/>
    </row>
    <row r="13" spans="1:11" s="19" customFormat="1" x14ac:dyDescent="0.35">
      <c r="A13" s="12" t="s">
        <v>3</v>
      </c>
      <c r="B13" s="1" t="s">
        <v>340</v>
      </c>
      <c r="C13" s="6" t="s">
        <v>73</v>
      </c>
      <c r="D13" s="6" t="str">
        <f>VLOOKUP(Tabela1[[#This Row],[Número]],SAMC!A:F,6,0)</f>
        <v>Em Revisão</v>
      </c>
      <c r="E13" s="7">
        <v>596335.77100789093</v>
      </c>
      <c r="F13" s="7">
        <v>273778.37523576582</v>
      </c>
      <c r="G13" s="8">
        <f>Tabela1[[#This Row],[Valor Global]]-Tabela1[[#This Row],[Faturado Acumulado]]</f>
        <v>322557.39577212511</v>
      </c>
      <c r="H13" s="6" t="str">
        <f>VLOOKUP(Tabela1[[#This Row],[Número]],SAMC!A:F,4,0)</f>
        <v>Mecânica e Caldeiraria</v>
      </c>
      <c r="I13" s="1" t="str">
        <f>VLOOKUP(Tabela1[[#This Row],[Número]],SAMC!A:F,3,0)</f>
        <v>Mecânica - Betim</v>
      </c>
      <c r="J13" s="28"/>
      <c r="K13" s="28"/>
    </row>
    <row r="14" spans="1:11" s="19" customFormat="1" x14ac:dyDescent="0.35">
      <c r="A14" s="12" t="s">
        <v>111</v>
      </c>
      <c r="B14" s="1" t="s">
        <v>112</v>
      </c>
      <c r="C14" s="6" t="s">
        <v>72</v>
      </c>
      <c r="D14" s="6" t="str">
        <f>VLOOKUP(Tabela1[[#This Row],[Número]],SAMC!A:F,6,0)</f>
        <v>Em Andamento</v>
      </c>
      <c r="E14" s="7">
        <v>202005.1</v>
      </c>
      <c r="F14" s="7">
        <v>122516.29500000001</v>
      </c>
      <c r="G14" s="8">
        <f>Tabela1[[#This Row],[Valor Global]]-Tabela1[[#This Row],[Faturado Acumulado]]</f>
        <v>79488.804999999993</v>
      </c>
      <c r="H14" s="6" t="str">
        <f>VLOOKUP(Tabela1[[#This Row],[Número]],SAMC!A:F,4,0)</f>
        <v>Elaboração de projeto</v>
      </c>
      <c r="I14" s="1" t="str">
        <f>VLOOKUP(Tabela1[[#This Row],[Número]],SAMC!A:F,3,0)</f>
        <v>Mecânica - Betim</v>
      </c>
      <c r="J14" s="28"/>
      <c r="K14" s="28"/>
    </row>
    <row r="15" spans="1:11" s="19" customFormat="1" x14ac:dyDescent="0.35">
      <c r="A15" s="12" t="s">
        <v>82</v>
      </c>
      <c r="B15" s="1" t="s">
        <v>83</v>
      </c>
      <c r="C15" s="6" t="s">
        <v>72</v>
      </c>
      <c r="D15" s="6" t="str">
        <f>VLOOKUP(Tabela1[[#This Row],[Número]],SAMC!A:F,6,0)</f>
        <v>Em Andamento</v>
      </c>
      <c r="E15" s="7">
        <v>1257425.6652852793</v>
      </c>
      <c r="F15" s="7">
        <v>476135.24009946582</v>
      </c>
      <c r="G15" s="8">
        <f>Tabela1[[#This Row],[Valor Global]]-Tabela1[[#This Row],[Faturado Acumulado]]</f>
        <v>781290.42518581345</v>
      </c>
      <c r="H15" s="6" t="str">
        <f>VLOOKUP(Tabela1[[#This Row],[Número]],SAMC!A:F,4,0)</f>
        <v>Elétrica e Instrumentação</v>
      </c>
      <c r="I15" s="1" t="str">
        <f>VLOOKUP(Tabela1[[#This Row],[Número]],SAMC!A:F,3,0)</f>
        <v>Elétrica e Instrumentação- Betim</v>
      </c>
      <c r="J15" s="28"/>
      <c r="K15" s="28"/>
    </row>
    <row r="16" spans="1:11" s="19" customFormat="1" x14ac:dyDescent="0.35">
      <c r="A16" s="12" t="s">
        <v>80</v>
      </c>
      <c r="B16" s="1" t="s">
        <v>81</v>
      </c>
      <c r="C16" s="6" t="s">
        <v>73</v>
      </c>
      <c r="D16" s="6" t="str">
        <f>VLOOKUP(Tabela1[[#This Row],[Número]],SAMC!A:F,6,0)</f>
        <v>Em Andamento</v>
      </c>
      <c r="E16" s="7">
        <v>486218.33</v>
      </c>
      <c r="F16" s="7">
        <v>261253.34179595293</v>
      </c>
      <c r="G16" s="8">
        <f>Tabela1[[#This Row],[Valor Global]]-Tabela1[[#This Row],[Faturado Acumulado]]</f>
        <v>224964.98820404708</v>
      </c>
      <c r="H16" s="6" t="str">
        <f>VLOOKUP(Tabela1[[#This Row],[Número]],SAMC!A:F,4,0)</f>
        <v>Elaboração de projeto</v>
      </c>
      <c r="I16" s="1" t="str">
        <f>VLOOKUP(Tabela1[[#This Row],[Número]],SAMC!A:F,3,0)</f>
        <v>Mecânica - Betim</v>
      </c>
      <c r="J16" s="28"/>
      <c r="K16" s="28"/>
    </row>
    <row r="17" spans="1:11" s="19" customFormat="1" x14ac:dyDescent="0.35">
      <c r="A17" s="12" t="s">
        <v>285</v>
      </c>
      <c r="B17" s="1" t="s">
        <v>286</v>
      </c>
      <c r="C17" s="6" t="s">
        <v>73</v>
      </c>
      <c r="D17" s="6" t="str">
        <f>VLOOKUP(Tabela1[[#This Row],[Número]],SAMC!A:F,6,0)</f>
        <v>Em Andamento</v>
      </c>
      <c r="E17" s="7">
        <v>447354.12</v>
      </c>
      <c r="F17" s="7">
        <v>34818.052131648394</v>
      </c>
      <c r="G17" s="8">
        <f>Tabela1[[#This Row],[Valor Global]]-Tabela1[[#This Row],[Faturado Acumulado]]</f>
        <v>412536.06786835159</v>
      </c>
      <c r="H17" s="6" t="str">
        <f>VLOOKUP(Tabela1[[#This Row],[Número]],SAMC!A:F,4,0)</f>
        <v>Civil</v>
      </c>
      <c r="I17" s="1" t="str">
        <f>VLOOKUP(Tabela1[[#This Row],[Número]],SAMC!A:F,3,0)</f>
        <v>Civil (projeto e manutenção civil) - Betim</v>
      </c>
      <c r="J17" s="28"/>
      <c r="K17" s="28"/>
    </row>
    <row r="18" spans="1:11" s="19" customFormat="1" x14ac:dyDescent="0.35">
      <c r="A18" s="12" t="s">
        <v>283</v>
      </c>
      <c r="B18" s="1" t="s">
        <v>284</v>
      </c>
      <c r="C18" s="6" t="s">
        <v>73</v>
      </c>
      <c r="D18" s="6" t="str">
        <f>VLOOKUP(Tabela1[[#This Row],[Número]],SAMC!A:F,6,0)</f>
        <v>Em Andamento</v>
      </c>
      <c r="E18" s="7">
        <v>388600.75</v>
      </c>
      <c r="F18" s="7">
        <v>263974.51166323503</v>
      </c>
      <c r="G18" s="8">
        <f>Tabela1[[#This Row],[Valor Global]]-Tabela1[[#This Row],[Faturado Acumulado]]</f>
        <v>124626.23833676497</v>
      </c>
      <c r="H18" s="6" t="str">
        <f>VLOOKUP(Tabela1[[#This Row],[Número]],SAMC!A:F,4,0)</f>
        <v>Mecânica e Caldeiraria</v>
      </c>
      <c r="I18" s="1" t="str">
        <f>VLOOKUP(Tabela1[[#This Row],[Número]],SAMC!A:F,3,0)</f>
        <v>Mecânica - Betim</v>
      </c>
      <c r="J18" s="28"/>
      <c r="K18" s="28"/>
    </row>
    <row r="19" spans="1:11" s="19" customFormat="1" x14ac:dyDescent="0.35">
      <c r="A19" s="12" t="s">
        <v>279</v>
      </c>
      <c r="B19" s="1" t="s">
        <v>280</v>
      </c>
      <c r="C19" s="6" t="s">
        <v>73</v>
      </c>
      <c r="D19" s="6" t="str">
        <f>VLOOKUP(Tabela1[[#This Row],[Número]],SAMC!A:F,6,0)</f>
        <v>Em Revisão</v>
      </c>
      <c r="E19" s="7">
        <v>448714.36</v>
      </c>
      <c r="F19" s="7">
        <v>62291.094739684435</v>
      </c>
      <c r="G19" s="8">
        <f>Tabela1[[#This Row],[Valor Global]]-Tabela1[[#This Row],[Faturado Acumulado]]</f>
        <v>386423.26526031556</v>
      </c>
      <c r="H19" s="6" t="str">
        <f>VLOOKUP(Tabela1[[#This Row],[Número]],SAMC!A:F,4,0)</f>
        <v>Elétrica e Instrumentação</v>
      </c>
      <c r="I19" s="1" t="str">
        <f>VLOOKUP(Tabela1[[#This Row],[Número]],SAMC!A:F,3,0)</f>
        <v>Elétrica e Instrumentação- Betim</v>
      </c>
      <c r="J19" s="28"/>
      <c r="K19" s="28"/>
    </row>
    <row r="20" spans="1:11" s="19" customFormat="1" x14ac:dyDescent="0.35">
      <c r="A20" s="12" t="s">
        <v>315</v>
      </c>
      <c r="B20" s="1" t="s">
        <v>316</v>
      </c>
      <c r="C20" s="6" t="s">
        <v>73</v>
      </c>
      <c r="D20" s="6" t="str">
        <f>VLOOKUP(Tabela1[[#This Row],[Número]],SAMC!A:F,6,0)</f>
        <v>Em Revisão</v>
      </c>
      <c r="E20" s="7">
        <v>436043.41230556648</v>
      </c>
      <c r="F20" s="7">
        <v>22706.233700189776</v>
      </c>
      <c r="G20" s="8">
        <f>Tabela1[[#This Row],[Valor Global]]-Tabela1[[#This Row],[Faturado Acumulado]]</f>
        <v>413337.17860537668</v>
      </c>
      <c r="H20" s="6" t="str">
        <f>VLOOKUP(Tabela1[[#This Row],[Número]],SAMC!A:F,4,0)</f>
        <v>Mecânica e Caldeiraria</v>
      </c>
      <c r="I20" s="1" t="str">
        <f>VLOOKUP(Tabela1[[#This Row],[Número]],SAMC!A:F,3,0)</f>
        <v>Mecânica - Betim</v>
      </c>
      <c r="J20" s="28"/>
      <c r="K20" s="28"/>
    </row>
    <row r="21" spans="1:11" s="19" customFormat="1" x14ac:dyDescent="0.35">
      <c r="A21" s="12" t="s">
        <v>307</v>
      </c>
      <c r="B21" s="1" t="s">
        <v>308</v>
      </c>
      <c r="C21" s="6" t="s">
        <v>73</v>
      </c>
      <c r="D21" s="6" t="str">
        <f>VLOOKUP(Tabela1[[#This Row],[Número]],SAMC!A:F,6,0)</f>
        <v>Em Revisão</v>
      </c>
      <c r="E21" s="7">
        <v>572008.69999999995</v>
      </c>
      <c r="F21" s="7">
        <v>237569.32216715225</v>
      </c>
      <c r="G21" s="8">
        <f>Tabela1[[#This Row],[Valor Global]]-Tabela1[[#This Row],[Faturado Acumulado]]</f>
        <v>334439.37783284771</v>
      </c>
      <c r="H21" s="6" t="str">
        <f>VLOOKUP(Tabela1[[#This Row],[Número]],SAMC!A:F,4,0)</f>
        <v>Mecânica e Caldeiraria</v>
      </c>
      <c r="I21" s="1" t="str">
        <f>VLOOKUP(Tabela1[[#This Row],[Número]],SAMC!A:F,3,0)</f>
        <v>Mecânica - Betim</v>
      </c>
      <c r="J21" s="28"/>
      <c r="K21" s="28"/>
    </row>
    <row r="22" spans="1:11" s="19" customFormat="1" x14ac:dyDescent="0.35">
      <c r="A22" s="12" t="s">
        <v>305</v>
      </c>
      <c r="B22" s="1" t="s">
        <v>306</v>
      </c>
      <c r="C22" s="6" t="s">
        <v>73</v>
      </c>
      <c r="D22" s="6" t="str">
        <f>VLOOKUP(Tabela1[[#This Row],[Número]],SAMC!A:F,6,0)</f>
        <v>Em Andamento</v>
      </c>
      <c r="E22" s="7">
        <v>590138.42962293257</v>
      </c>
      <c r="F22" s="7">
        <v>237839.43118219392</v>
      </c>
      <c r="G22" s="8">
        <f>Tabela1[[#This Row],[Valor Global]]-Tabela1[[#This Row],[Faturado Acumulado]]</f>
        <v>352298.99844073865</v>
      </c>
      <c r="H22" s="6" t="str">
        <f>VLOOKUP(Tabela1[[#This Row],[Número]],SAMC!A:F,4,0)</f>
        <v>Mecânica e Caldeiraria</v>
      </c>
      <c r="I22" s="1" t="str">
        <f>VLOOKUP(Tabela1[[#This Row],[Número]],SAMC!A:F,3,0)</f>
        <v>Mecânica - Betim</v>
      </c>
      <c r="J22" s="28"/>
      <c r="K22" s="28"/>
    </row>
    <row r="23" spans="1:11" s="19" customFormat="1" x14ac:dyDescent="0.35">
      <c r="A23" s="12" t="s">
        <v>360</v>
      </c>
      <c r="B23" s="1" t="s">
        <v>514</v>
      </c>
      <c r="C23" s="6" t="s">
        <v>72</v>
      </c>
      <c r="D23" s="6" t="str">
        <f>VLOOKUP(Tabela1[[#This Row],[Número]],SAMC!A:F,6,0)</f>
        <v>Em Andamento</v>
      </c>
      <c r="E23" s="7">
        <v>231389.24</v>
      </c>
      <c r="F23" s="7">
        <v>134631.28</v>
      </c>
      <c r="G23" s="8">
        <f>Tabela1[[#This Row],[Valor Global]]-Tabela1[[#This Row],[Faturado Acumulado]]</f>
        <v>96757.959999999992</v>
      </c>
      <c r="H23" s="6" t="str">
        <f>VLOOKUP(Tabela1[[#This Row],[Número]],SAMC!A:F,4,0)</f>
        <v>Revenda Materiais</v>
      </c>
      <c r="I23" s="1" t="str">
        <f>VLOOKUP(Tabela1[[#This Row],[Número]],SAMC!A:F,3,0)</f>
        <v>Receber Materiais - Regap-Betim</v>
      </c>
      <c r="J23" s="28"/>
      <c r="K23" s="28"/>
    </row>
    <row r="24" spans="1:11" s="19" customFormat="1" x14ac:dyDescent="0.35">
      <c r="A24" s="12" t="s">
        <v>356</v>
      </c>
      <c r="B24" s="1" t="s">
        <v>357</v>
      </c>
      <c r="C24" s="6" t="s">
        <v>73</v>
      </c>
      <c r="D24" s="6" t="str">
        <f>VLOOKUP(Tabela1[[#This Row],[Número]],SAMC!A:F,6,0)</f>
        <v>Em Andamento</v>
      </c>
      <c r="E24" s="7">
        <v>343364.38</v>
      </c>
      <c r="F24" s="7">
        <v>290812.74</v>
      </c>
      <c r="G24" s="8">
        <f>Tabela1[[#This Row],[Valor Global]]-Tabela1[[#This Row],[Faturado Acumulado]]</f>
        <v>52551.640000000014</v>
      </c>
      <c r="H24" s="6" t="str">
        <f>VLOOKUP(Tabela1[[#This Row],[Número]],SAMC!A:F,4,0)</f>
        <v>Revenda Materiais</v>
      </c>
      <c r="I24" s="1" t="str">
        <f>VLOOKUP(Tabela1[[#This Row],[Número]],SAMC!A:F,3,0)</f>
        <v>Receber Materiais - Regap-Betim</v>
      </c>
      <c r="J24" s="28"/>
      <c r="K24" s="28"/>
    </row>
    <row r="25" spans="1:11" s="19" customFormat="1" x14ac:dyDescent="0.35">
      <c r="A25" s="12" t="s">
        <v>354</v>
      </c>
      <c r="B25" s="1" t="s">
        <v>355</v>
      </c>
      <c r="C25" s="6" t="s">
        <v>73</v>
      </c>
      <c r="D25" s="6" t="str">
        <f>VLOOKUP(Tabela1[[#This Row],[Número]],SAMC!A:F,6,0)</f>
        <v>Em Andamento</v>
      </c>
      <c r="E25" s="7">
        <v>33203.95212216286</v>
      </c>
      <c r="F25" s="7">
        <v>17938.990000000002</v>
      </c>
      <c r="G25" s="8">
        <f>Tabela1[[#This Row],[Valor Global]]-Tabela1[[#This Row],[Faturado Acumulado]]</f>
        <v>15264.962122162859</v>
      </c>
      <c r="H25" s="6" t="str">
        <f>VLOOKUP(Tabela1[[#This Row],[Número]],SAMC!A:F,4,0)</f>
        <v>Revenda Materiais</v>
      </c>
      <c r="I25" s="1" t="str">
        <f>VLOOKUP(Tabela1[[#This Row],[Número]],SAMC!A:F,3,0)</f>
        <v>Receber Materiais - Regap-Betim</v>
      </c>
      <c r="J25" s="28"/>
      <c r="K25" s="28"/>
    </row>
    <row r="26" spans="1:11" s="19" customFormat="1" x14ac:dyDescent="0.35">
      <c r="A26" s="12" t="s">
        <v>352</v>
      </c>
      <c r="B26" s="1" t="s">
        <v>353</v>
      </c>
      <c r="C26" s="6" t="s">
        <v>72</v>
      </c>
      <c r="D26" s="6" t="str">
        <f>VLOOKUP(Tabela1[[#This Row],[Número]],SAMC!A:F,6,0)</f>
        <v>Em Revisão</v>
      </c>
      <c r="E26" s="7">
        <v>49047.999531164613</v>
      </c>
      <c r="F26" s="7">
        <v>0</v>
      </c>
      <c r="G26" s="8">
        <f>Tabela1[[#This Row],[Valor Global]]-Tabela1[[#This Row],[Faturado Acumulado]]</f>
        <v>49047.999531164613</v>
      </c>
      <c r="H26" s="6" t="str">
        <f>VLOOKUP(Tabela1[[#This Row],[Número]],SAMC!A:F,4,0)</f>
        <v>Civil</v>
      </c>
      <c r="I26" s="1" t="str">
        <f>VLOOKUP(Tabela1[[#This Row],[Número]],SAMC!A:F,3,0)</f>
        <v>Civil (projeto e manutenção civil) - Betim</v>
      </c>
      <c r="J26" s="28"/>
      <c r="K26" s="28"/>
    </row>
    <row r="27" spans="1:11" s="19" customFormat="1" x14ac:dyDescent="0.35">
      <c r="A27" s="12" t="s">
        <v>375</v>
      </c>
      <c r="B27" s="1" t="s">
        <v>488</v>
      </c>
      <c r="C27" s="6" t="s">
        <v>73</v>
      </c>
      <c r="D27" s="6" t="str">
        <f>VLOOKUP(Tabela1[[#This Row],[Número]],SAMC!A:F,6,0)</f>
        <v>Aguardando Aprovação da Revisão</v>
      </c>
      <c r="E27" s="7">
        <v>327669.88746708474</v>
      </c>
      <c r="F27" s="7">
        <v>0</v>
      </c>
      <c r="G27" s="8">
        <f>Tabela1[[#This Row],[Valor Global]]-Tabela1[[#This Row],[Faturado Acumulado]]</f>
        <v>327669.88746708474</v>
      </c>
      <c r="H27" s="6" t="str">
        <f>VLOOKUP(Tabela1[[#This Row],[Número]],SAMC!A:F,4,0)</f>
        <v>Elétrica e Instrumentação</v>
      </c>
      <c r="I27" s="1" t="str">
        <f>VLOOKUP(Tabela1[[#This Row],[Número]],SAMC!A:F,3,0)</f>
        <v>Elétrica e Instrumentação- Betim</v>
      </c>
      <c r="J27" s="28"/>
      <c r="K27" s="28"/>
    </row>
    <row r="28" spans="1:11" s="19" customFormat="1" x14ac:dyDescent="0.35">
      <c r="A28" s="12" t="s">
        <v>374</v>
      </c>
      <c r="B28" s="1" t="s">
        <v>487</v>
      </c>
      <c r="C28" s="6" t="s">
        <v>73</v>
      </c>
      <c r="D28" s="6" t="str">
        <f>VLOOKUP(Tabela1[[#This Row],[Número]],SAMC!A:F,6,0)</f>
        <v>Em Andamento</v>
      </c>
      <c r="E28" s="7">
        <v>321583.38</v>
      </c>
      <c r="F28" s="7">
        <v>49375.848212598466</v>
      </c>
      <c r="G28" s="8">
        <f>Tabela1[[#This Row],[Valor Global]]-Tabela1[[#This Row],[Faturado Acumulado]]</f>
        <v>272207.53178740153</v>
      </c>
      <c r="H28" s="6" t="str">
        <f>VLOOKUP(Tabela1[[#This Row],[Número]],SAMC!A:F,4,0)</f>
        <v>Mecânica e Caldeiraria</v>
      </c>
      <c r="I28" s="1" t="str">
        <f>VLOOKUP(Tabela1[[#This Row],[Número]],SAMC!A:F,3,0)</f>
        <v>Mecânica - Betim</v>
      </c>
      <c r="J28" s="28"/>
      <c r="K28" s="28"/>
    </row>
    <row r="29" spans="1:11" s="19" customFormat="1" x14ac:dyDescent="0.35">
      <c r="A29" s="12" t="s">
        <v>480</v>
      </c>
      <c r="B29" s="1" t="s">
        <v>1073</v>
      </c>
      <c r="C29" s="6" t="s">
        <v>73</v>
      </c>
      <c r="D29" s="6" t="str">
        <f>VLOOKUP(Tabela1[[#This Row],[Número]],SAMC!A:F,6,0)</f>
        <v>Aguardando Aprovação</v>
      </c>
      <c r="E29" s="7">
        <v>2453.8428901408256</v>
      </c>
      <c r="F29" s="7">
        <v>0</v>
      </c>
      <c r="G29" s="8">
        <f>Tabela1[[#This Row],[Valor Global]]-Tabela1[[#This Row],[Faturado Acumulado]]</f>
        <v>2453.8428901408256</v>
      </c>
      <c r="H29" s="6" t="str">
        <f>VLOOKUP(Tabela1[[#This Row],[Número]],SAMC!A:F,4,0)</f>
        <v>Revenda Materiais</v>
      </c>
      <c r="I29" s="1" t="str">
        <f>VLOOKUP(Tabela1[[#This Row],[Número]],SAMC!A:F,3,0)</f>
        <v>Receber Materiais - Regap-Betim</v>
      </c>
      <c r="J29" s="28"/>
      <c r="K29" s="28"/>
    </row>
    <row r="30" spans="1:11" s="19" customFormat="1" x14ac:dyDescent="0.35">
      <c r="A30" s="12" t="s">
        <v>476</v>
      </c>
      <c r="B30" s="1" t="s">
        <v>477</v>
      </c>
      <c r="C30" s="6" t="s">
        <v>72</v>
      </c>
      <c r="D30" s="6" t="str">
        <f>VLOOKUP(Tabela1[[#This Row],[Número]],SAMC!A:F,6,0)</f>
        <v>Em Revisão</v>
      </c>
      <c r="E30" s="7">
        <v>214834.49</v>
      </c>
      <c r="F30" s="7">
        <v>97220.638294993638</v>
      </c>
      <c r="G30" s="8">
        <f>Tabela1[[#This Row],[Valor Global]]-Tabela1[[#This Row],[Faturado Acumulado]]</f>
        <v>117613.85170500635</v>
      </c>
      <c r="H30" s="6" t="str">
        <f>VLOOKUP(Tabela1[[#This Row],[Número]],SAMC!A:F,4,0)</f>
        <v>Elétrica e Instrumentação</v>
      </c>
      <c r="I30" s="1" t="str">
        <f>VLOOKUP(Tabela1[[#This Row],[Número]],SAMC!A:F,3,0)</f>
        <v>Elétrica e Instrumentação- Betim</v>
      </c>
      <c r="J30" s="28"/>
      <c r="K30" s="28"/>
    </row>
    <row r="31" spans="1:11" s="19" customFormat="1" x14ac:dyDescent="0.35">
      <c r="A31" s="12" t="s">
        <v>472</v>
      </c>
      <c r="B31" s="1" t="s">
        <v>473</v>
      </c>
      <c r="C31" s="6" t="s">
        <v>72</v>
      </c>
      <c r="D31" s="6" t="str">
        <f>VLOOKUP(Tabela1[[#This Row],[Número]],SAMC!A:F,6,0)</f>
        <v>Em Andamento</v>
      </c>
      <c r="E31" s="7">
        <v>47211.57</v>
      </c>
      <c r="F31" s="7">
        <v>38762.742067246843</v>
      </c>
      <c r="G31" s="8">
        <f>Tabela1[[#This Row],[Valor Global]]-Tabela1[[#This Row],[Faturado Acumulado]]</f>
        <v>8448.8279327531563</v>
      </c>
      <c r="H31" s="6" t="str">
        <f>VLOOKUP(Tabela1[[#This Row],[Número]],SAMC!A:F,4,0)</f>
        <v>Civil</v>
      </c>
      <c r="I31" s="1" t="str">
        <f>VLOOKUP(Tabela1[[#This Row],[Número]],SAMC!A:F,3,0)</f>
        <v>Civil (projeto e manutenção civil) - Betim</v>
      </c>
      <c r="J31" s="28"/>
      <c r="K31" s="28"/>
    </row>
    <row r="32" spans="1:11" s="19" customFormat="1" x14ac:dyDescent="0.35">
      <c r="A32" s="12" t="s">
        <v>470</v>
      </c>
      <c r="B32" s="1" t="s">
        <v>1072</v>
      </c>
      <c r="C32" s="6" t="s">
        <v>73</v>
      </c>
      <c r="D32" s="6" t="str">
        <f>VLOOKUP(Tabela1[[#This Row],[Número]],SAMC!A:F,6,0)</f>
        <v>Em Andamento</v>
      </c>
      <c r="E32" s="7">
        <v>311678.24</v>
      </c>
      <c r="F32" s="7">
        <v>94768.031349350742</v>
      </c>
      <c r="G32" s="8">
        <f>Tabela1[[#This Row],[Valor Global]]-Tabela1[[#This Row],[Faturado Acumulado]]</f>
        <v>216910.20865064923</v>
      </c>
      <c r="H32" s="6" t="str">
        <f>VLOOKUP(Tabela1[[#This Row],[Número]],SAMC!A:F,4,0)</f>
        <v>Civil</v>
      </c>
      <c r="I32" s="1" t="str">
        <f>VLOOKUP(Tabela1[[#This Row],[Número]],SAMC!A:F,3,0)</f>
        <v>Civil (projeto e manutenção civil) - Betim</v>
      </c>
      <c r="J32" s="28"/>
      <c r="K32" s="28"/>
    </row>
    <row r="33" spans="1:11" s="19" customFormat="1" x14ac:dyDescent="0.35">
      <c r="A33" s="12" t="s">
        <v>466</v>
      </c>
      <c r="B33" s="1" t="s">
        <v>467</v>
      </c>
      <c r="C33" s="6" t="s">
        <v>73</v>
      </c>
      <c r="D33" s="6" t="str">
        <f>VLOOKUP(Tabela1[[#This Row],[Número]],SAMC!A:F,6,0)</f>
        <v>Em Andamento</v>
      </c>
      <c r="E33" s="7">
        <v>52119.28895615389</v>
      </c>
      <c r="F33" s="7">
        <v>42712.924740598879</v>
      </c>
      <c r="G33" s="8">
        <f>Tabela1[[#This Row],[Valor Global]]-Tabela1[[#This Row],[Faturado Acumulado]]</f>
        <v>9406.3642155550115</v>
      </c>
      <c r="H33" s="6" t="str">
        <f>VLOOKUP(Tabela1[[#This Row],[Número]],SAMC!A:F,4,0)</f>
        <v>Elétrica e Instrumentação</v>
      </c>
      <c r="I33" s="1" t="str">
        <f>VLOOKUP(Tabela1[[#This Row],[Número]],SAMC!A:F,3,0)</f>
        <v>Elétrica e Instrumentação- Betim</v>
      </c>
      <c r="J33" s="28"/>
      <c r="K33" s="28"/>
    </row>
    <row r="34" spans="1:11" s="19" customFormat="1" x14ac:dyDescent="0.35">
      <c r="A34" s="12" t="s">
        <v>465</v>
      </c>
      <c r="B34" s="1" t="s">
        <v>1071</v>
      </c>
      <c r="C34" s="6" t="s">
        <v>73</v>
      </c>
      <c r="D34" s="6" t="str">
        <f>VLOOKUP(Tabela1[[#This Row],[Número]],SAMC!A:F,6,0)</f>
        <v>Aguardando Aprovação da Revisão</v>
      </c>
      <c r="E34" s="7">
        <v>87365.52</v>
      </c>
      <c r="F34" s="7">
        <v>82391.153364705882</v>
      </c>
      <c r="G34" s="8">
        <f>Tabela1[[#This Row],[Valor Global]]-Tabela1[[#This Row],[Faturado Acumulado]]</f>
        <v>4974.3666352941218</v>
      </c>
      <c r="H34" s="6" t="str">
        <f>VLOOKUP(Tabela1[[#This Row],[Número]],SAMC!A:F,4,0)</f>
        <v>Civil</v>
      </c>
      <c r="I34" s="1" t="str">
        <f>VLOOKUP(Tabela1[[#This Row],[Número]],SAMC!A:F,3,0)</f>
        <v>Civil (projeto e manutenção civil) - Betim</v>
      </c>
      <c r="J34" s="28"/>
      <c r="K34" s="28"/>
    </row>
    <row r="35" spans="1:11" s="19" customFormat="1" x14ac:dyDescent="0.35">
      <c r="A35" s="12" t="s">
        <v>535</v>
      </c>
      <c r="B35" s="1" t="s">
        <v>536</v>
      </c>
      <c r="C35" s="6" t="s">
        <v>72</v>
      </c>
      <c r="D35" s="6" t="str">
        <f>VLOOKUP(Tabela1[[#This Row],[Número]],SAMC!A:F,6,0)</f>
        <v>Em Andamento</v>
      </c>
      <c r="E35" s="7">
        <v>74170.759244703935</v>
      </c>
      <c r="F35" s="7">
        <v>9458.4623637043424</v>
      </c>
      <c r="G35" s="8">
        <f>Tabela1[[#This Row],[Valor Global]]-Tabela1[[#This Row],[Faturado Acumulado]]</f>
        <v>64712.296880999595</v>
      </c>
      <c r="H35" s="6" t="str">
        <f>VLOOKUP(Tabela1[[#This Row],[Número]],SAMC!A:F,4,0)</f>
        <v>Civil</v>
      </c>
      <c r="I35" s="1" t="str">
        <f>VLOOKUP(Tabela1[[#This Row],[Número]],SAMC!A:F,3,0)</f>
        <v>Civil (projeto e manutenção civil) - Betim</v>
      </c>
      <c r="J35" s="28"/>
      <c r="K35" s="28"/>
    </row>
    <row r="36" spans="1:11" s="19" customFormat="1" x14ac:dyDescent="0.35">
      <c r="A36" s="12" t="s">
        <v>537</v>
      </c>
      <c r="B36" s="1" t="s">
        <v>538</v>
      </c>
      <c r="C36" s="6" t="s">
        <v>72</v>
      </c>
      <c r="D36" s="6" t="str">
        <f>VLOOKUP(Tabela1[[#This Row],[Número]],SAMC!A:F,6,0)</f>
        <v>Em Andamento</v>
      </c>
      <c r="E36" s="7">
        <v>18400.34976642461</v>
      </c>
      <c r="F36" s="7">
        <v>0</v>
      </c>
      <c r="G36" s="8">
        <f>Tabela1[[#This Row],[Valor Global]]-Tabela1[[#This Row],[Faturado Acumulado]]</f>
        <v>18400.34976642461</v>
      </c>
      <c r="H36" s="6" t="str">
        <f>VLOOKUP(Tabela1[[#This Row],[Número]],SAMC!A:F,4,0)</f>
        <v>Revenda Materiais</v>
      </c>
      <c r="I36" s="1" t="str">
        <f>VLOOKUP(Tabela1[[#This Row],[Número]],SAMC!A:F,3,0)</f>
        <v>Receber Materiais - Regap-Betim</v>
      </c>
      <c r="J36" s="28"/>
      <c r="K36" s="28"/>
    </row>
    <row r="37" spans="1:11" s="19" customFormat="1" x14ac:dyDescent="0.35">
      <c r="A37" s="12" t="s">
        <v>539</v>
      </c>
      <c r="B37" s="1" t="s">
        <v>540</v>
      </c>
      <c r="C37" s="6" t="s">
        <v>72</v>
      </c>
      <c r="D37" s="6" t="str">
        <f>VLOOKUP(Tabela1[[#This Row],[Número]],SAMC!A:F,6,0)</f>
        <v>Em Andamento</v>
      </c>
      <c r="E37" s="7">
        <v>19165.032118619467</v>
      </c>
      <c r="F37" s="7">
        <v>0</v>
      </c>
      <c r="G37" s="8">
        <f>Tabela1[[#This Row],[Valor Global]]-Tabela1[[#This Row],[Faturado Acumulado]]</f>
        <v>19165.032118619467</v>
      </c>
      <c r="H37" s="6" t="str">
        <f>VLOOKUP(Tabela1[[#This Row],[Número]],SAMC!A:F,4,0)</f>
        <v>Mecânica e Caldeiraria</v>
      </c>
      <c r="I37" s="1" t="str">
        <f>VLOOKUP(Tabela1[[#This Row],[Número]],SAMC!A:F,3,0)</f>
        <v>Mecânica - Betim</v>
      </c>
      <c r="J37" s="28"/>
      <c r="K37" s="28"/>
    </row>
    <row r="38" spans="1:11" s="19" customFormat="1" x14ac:dyDescent="0.35">
      <c r="A38" s="12" t="s">
        <v>541</v>
      </c>
      <c r="B38" s="1" t="s">
        <v>542</v>
      </c>
      <c r="C38" s="6" t="s">
        <v>72</v>
      </c>
      <c r="D38" s="6" t="str">
        <f>VLOOKUP(Tabela1[[#This Row],[Número]],SAMC!A:F,6,0)</f>
        <v>Em Andamento</v>
      </c>
      <c r="E38" s="7">
        <v>16989.469673390788</v>
      </c>
      <c r="F38" s="7">
        <v>0</v>
      </c>
      <c r="G38" s="8">
        <f>Tabela1[[#This Row],[Valor Global]]-Tabela1[[#This Row],[Faturado Acumulado]]</f>
        <v>16989.469673390788</v>
      </c>
      <c r="H38" s="6" t="str">
        <f>VLOOKUP(Tabela1[[#This Row],[Número]],SAMC!A:F,4,0)</f>
        <v>Revenda Materiais</v>
      </c>
      <c r="I38" s="1" t="str">
        <f>VLOOKUP(Tabela1[[#This Row],[Número]],SAMC!A:F,3,0)</f>
        <v>Receber Materiais - Regap-Betim</v>
      </c>
      <c r="J38" s="28"/>
      <c r="K38" s="28"/>
    </row>
    <row r="39" spans="1:11" s="19" customFormat="1" x14ac:dyDescent="0.35">
      <c r="A39" s="12" t="s">
        <v>543</v>
      </c>
      <c r="B39" s="1" t="s">
        <v>544</v>
      </c>
      <c r="C39" s="6" t="s">
        <v>72</v>
      </c>
      <c r="D39" s="6" t="str">
        <f>VLOOKUP(Tabela1[[#This Row],[Número]],SAMC!A:F,6,0)</f>
        <v>Em Andamento</v>
      </c>
      <c r="E39" s="7">
        <v>746997.34</v>
      </c>
      <c r="F39" s="7">
        <v>419232.02786456241</v>
      </c>
      <c r="G39" s="8">
        <f>Tabela1[[#This Row],[Valor Global]]-Tabela1[[#This Row],[Faturado Acumulado]]</f>
        <v>327765.31213543756</v>
      </c>
      <c r="H39" s="6" t="str">
        <f>VLOOKUP(Tabela1[[#This Row],[Número]],SAMC!A:F,4,0)</f>
        <v>Civil</v>
      </c>
      <c r="I39" s="1" t="str">
        <f>VLOOKUP(Tabela1[[#This Row],[Número]],SAMC!A:F,3,0)</f>
        <v>Civil (projeto e manutenção civil) - Betim</v>
      </c>
      <c r="J39" s="28"/>
      <c r="K39" s="28"/>
    </row>
    <row r="40" spans="1:11" s="19" customFormat="1" x14ac:dyDescent="0.35">
      <c r="A40" s="12" t="s">
        <v>545</v>
      </c>
      <c r="B40" s="1" t="s">
        <v>546</v>
      </c>
      <c r="C40" s="6" t="s">
        <v>73</v>
      </c>
      <c r="D40" s="6" t="str">
        <f>VLOOKUP(Tabela1[[#This Row],[Número]],SAMC!A:F,6,0)</f>
        <v>Em Andamento</v>
      </c>
      <c r="E40" s="7">
        <v>3219796.9925417085</v>
      </c>
      <c r="F40" s="7">
        <v>1432325.04</v>
      </c>
      <c r="G40" s="8">
        <f>Tabela1[[#This Row],[Valor Global]]-Tabela1[[#This Row],[Faturado Acumulado]]</f>
        <v>1787471.9525417085</v>
      </c>
      <c r="H40" s="6" t="str">
        <f>VLOOKUP(Tabela1[[#This Row],[Número]],SAMC!A:F,4,0)</f>
        <v>Revenda Materiais</v>
      </c>
      <c r="I40" s="1" t="str">
        <f>VLOOKUP(Tabela1[[#This Row],[Número]],SAMC!A:F,3,0)</f>
        <v>Receber Materiais - Regap-Betim</v>
      </c>
      <c r="J40" s="28"/>
      <c r="K40" s="28"/>
    </row>
    <row r="41" spans="1:11" s="19" customFormat="1" x14ac:dyDescent="0.35">
      <c r="A41" s="12" t="s">
        <v>547</v>
      </c>
      <c r="B41" s="1" t="s">
        <v>548</v>
      </c>
      <c r="C41" s="6" t="s">
        <v>73</v>
      </c>
      <c r="D41" s="6" t="str">
        <f>VLOOKUP(Tabela1[[#This Row],[Número]],SAMC!A:F,6,0)</f>
        <v>Em Andamento</v>
      </c>
      <c r="E41" s="7">
        <v>7289311.5838708058</v>
      </c>
      <c r="F41" s="7">
        <v>1097365.1819680505</v>
      </c>
      <c r="G41" s="8">
        <f>Tabela1[[#This Row],[Valor Global]]-Tabela1[[#This Row],[Faturado Acumulado]]</f>
        <v>6191946.4019027557</v>
      </c>
      <c r="H41" s="6" t="str">
        <f>VLOOKUP(Tabela1[[#This Row],[Número]],SAMC!A:F,4,0)</f>
        <v>Mecânica e Caldeiraria</v>
      </c>
      <c r="I41" s="1" t="str">
        <f>VLOOKUP(Tabela1[[#This Row],[Número]],SAMC!A:F,3,0)</f>
        <v>Mecânica - Betim</v>
      </c>
      <c r="J41" s="28"/>
      <c r="K41" s="28"/>
    </row>
    <row r="42" spans="1:11" s="19" customFormat="1" x14ac:dyDescent="0.35">
      <c r="A42" s="12" t="s">
        <v>549</v>
      </c>
      <c r="B42" s="1" t="s">
        <v>550</v>
      </c>
      <c r="C42" s="6" t="s">
        <v>73</v>
      </c>
      <c r="D42" s="6" t="str">
        <f>VLOOKUP(Tabela1[[#This Row],[Número]],SAMC!A:F,6,0)</f>
        <v>Aguardando Aprovação</v>
      </c>
      <c r="E42" s="7">
        <v>5400002.2347855335</v>
      </c>
      <c r="F42" s="7">
        <v>0</v>
      </c>
      <c r="G42" s="8">
        <f>Tabela1[[#This Row],[Valor Global]]-Tabela1[[#This Row],[Faturado Acumulado]]</f>
        <v>5400002.2347855335</v>
      </c>
      <c r="H42" s="6" t="str">
        <f>VLOOKUP(Tabela1[[#This Row],[Número]],SAMC!A:F,4,0)</f>
        <v>Mecânica e Caldeiraria</v>
      </c>
      <c r="I42" s="1" t="str">
        <f>VLOOKUP(Tabela1[[#This Row],[Número]],SAMC!A:F,3,0)</f>
        <v>Mecânica - Betim</v>
      </c>
      <c r="J42" s="28"/>
      <c r="K42" s="28"/>
    </row>
    <row r="43" spans="1:11" s="19" customFormat="1" x14ac:dyDescent="0.35">
      <c r="A43" s="12" t="s">
        <v>551</v>
      </c>
      <c r="B43" s="1" t="s">
        <v>552</v>
      </c>
      <c r="C43" s="6" t="s">
        <v>73</v>
      </c>
      <c r="D43" s="6" t="str">
        <f>VLOOKUP(Tabela1[[#This Row],[Número]],SAMC!A:F,6,0)</f>
        <v>Aguardando classif contabil</v>
      </c>
      <c r="E43" s="7">
        <v>1380929.1316542171</v>
      </c>
      <c r="F43" s="7">
        <v>0</v>
      </c>
      <c r="G43" s="8">
        <f>Tabela1[[#This Row],[Valor Global]]-Tabela1[[#This Row],[Faturado Acumulado]]</f>
        <v>1380929.1316542171</v>
      </c>
      <c r="H43" s="6" t="str">
        <f>VLOOKUP(Tabela1[[#This Row],[Número]],SAMC!A:F,4,0)</f>
        <v>Civil</v>
      </c>
      <c r="I43" s="1" t="str">
        <f>VLOOKUP(Tabela1[[#This Row],[Número]],SAMC!A:F,3,0)</f>
        <v>Civil (projeto e manutenção civil) - Betim</v>
      </c>
      <c r="J43" s="28"/>
      <c r="K43" s="28"/>
    </row>
    <row r="44" spans="1:11" s="19" customFormat="1" x14ac:dyDescent="0.35">
      <c r="A44" s="12" t="s">
        <v>553</v>
      </c>
      <c r="B44" s="1" t="s">
        <v>554</v>
      </c>
      <c r="C44" s="6" t="s">
        <v>73</v>
      </c>
      <c r="D44" s="6" t="str">
        <f>VLOOKUP(Tabela1[[#This Row],[Número]],SAMC!A:F,6,0)</f>
        <v>Aguardando classif contabil</v>
      </c>
      <c r="E44" s="7">
        <v>581185.14375721535</v>
      </c>
      <c r="F44" s="7">
        <v>0</v>
      </c>
      <c r="G44" s="8">
        <f>Tabela1[[#This Row],[Valor Global]]-Tabela1[[#This Row],[Faturado Acumulado]]</f>
        <v>581185.14375721535</v>
      </c>
      <c r="H44" s="6" t="str">
        <f>VLOOKUP(Tabela1[[#This Row],[Número]],SAMC!A:F,4,0)</f>
        <v>Civil</v>
      </c>
      <c r="I44" s="1" t="str">
        <f>VLOOKUP(Tabela1[[#This Row],[Número]],SAMC!A:F,3,0)</f>
        <v>Civil (projeto e manutenção civil) - Betim</v>
      </c>
      <c r="J44" s="28"/>
      <c r="K44" s="28"/>
    </row>
    <row r="45" spans="1:11" s="19" customFormat="1" x14ac:dyDescent="0.35">
      <c r="A45" s="12" t="s">
        <v>555</v>
      </c>
      <c r="B45" s="1" t="s">
        <v>556</v>
      </c>
      <c r="C45" s="6" t="s">
        <v>73</v>
      </c>
      <c r="D45" s="6" t="str">
        <f>VLOOKUP(Tabela1[[#This Row],[Número]],SAMC!A:F,6,0)</f>
        <v>Em Andamento</v>
      </c>
      <c r="E45" s="7">
        <v>606944.8140350607</v>
      </c>
      <c r="F45" s="7">
        <v>598821.59000000008</v>
      </c>
      <c r="G45" s="8">
        <f>Tabela1[[#This Row],[Valor Global]]-Tabela1[[#This Row],[Faturado Acumulado]]</f>
        <v>8123.2240350606153</v>
      </c>
      <c r="H45" s="6" t="str">
        <f>VLOOKUP(Tabela1[[#This Row],[Número]],SAMC!A:F,4,0)</f>
        <v>Revenda Materiais</v>
      </c>
      <c r="I45" s="1" t="str">
        <f>VLOOKUP(Tabela1[[#This Row],[Número]],SAMC!A:F,3,0)</f>
        <v>Receber Materiais - Regap-Betim</v>
      </c>
      <c r="J45" s="28"/>
      <c r="K45" s="28"/>
    </row>
    <row r="46" spans="1:11" s="19" customFormat="1" x14ac:dyDescent="0.35">
      <c r="A46" s="12" t="s">
        <v>557</v>
      </c>
      <c r="B46" s="1" t="s">
        <v>558</v>
      </c>
      <c r="C46" s="6" t="s">
        <v>73</v>
      </c>
      <c r="D46" s="6" t="str">
        <f>VLOOKUP(Tabela1[[#This Row],[Número]],SAMC!A:F,6,0)</f>
        <v>Em Andamento</v>
      </c>
      <c r="E46" s="7">
        <v>876615.91482021869</v>
      </c>
      <c r="F46" s="7">
        <v>576769.61970830127</v>
      </c>
      <c r="G46" s="8">
        <f>Tabela1[[#This Row],[Valor Global]]-Tabela1[[#This Row],[Faturado Acumulado]]</f>
        <v>299846.29511191742</v>
      </c>
      <c r="H46" s="6" t="str">
        <f>VLOOKUP(Tabela1[[#This Row],[Número]],SAMC!A:F,4,0)</f>
        <v>Mecânica e Caldeiraria</v>
      </c>
      <c r="I46" s="1" t="str">
        <f>VLOOKUP(Tabela1[[#This Row],[Número]],SAMC!A:F,3,0)</f>
        <v>Mecânica - Betim</v>
      </c>
      <c r="J46" s="28"/>
      <c r="K46" s="28"/>
    </row>
    <row r="47" spans="1:11" s="19" customFormat="1" x14ac:dyDescent="0.35">
      <c r="A47" s="12" t="s">
        <v>559</v>
      </c>
      <c r="B47" s="1" t="s">
        <v>560</v>
      </c>
      <c r="C47" s="6" t="s">
        <v>73</v>
      </c>
      <c r="D47" s="6" t="str">
        <f>VLOOKUP(Tabela1[[#This Row],[Número]],SAMC!A:F,6,0)</f>
        <v>Em Andamento</v>
      </c>
      <c r="E47" s="7">
        <v>970186.00121916912</v>
      </c>
      <c r="F47" s="7">
        <v>280004.40135637193</v>
      </c>
      <c r="G47" s="8">
        <f>Tabela1[[#This Row],[Valor Global]]-Tabela1[[#This Row],[Faturado Acumulado]]</f>
        <v>690181.59986279719</v>
      </c>
      <c r="H47" s="6" t="str">
        <f>VLOOKUP(Tabela1[[#This Row],[Número]],SAMC!A:F,4,0)</f>
        <v>Mecânica e Caldeiraria</v>
      </c>
      <c r="I47" s="1" t="str">
        <f>VLOOKUP(Tabela1[[#This Row],[Número]],SAMC!A:F,3,0)</f>
        <v>Mecânica - Betim</v>
      </c>
      <c r="J47" s="28"/>
      <c r="K47" s="28"/>
    </row>
    <row r="48" spans="1:11" s="19" customFormat="1" x14ac:dyDescent="0.35">
      <c r="A48" s="12" t="s">
        <v>565</v>
      </c>
      <c r="B48" s="1" t="s">
        <v>566</v>
      </c>
      <c r="C48" s="6" t="s">
        <v>73</v>
      </c>
      <c r="D48" s="6" t="str">
        <f>VLOOKUP(Tabela1[[#This Row],[Número]],SAMC!A:F,6,0)</f>
        <v>Em Andamento</v>
      </c>
      <c r="E48" s="7">
        <v>21889.11</v>
      </c>
      <c r="F48" s="7">
        <v>17712.113333021178</v>
      </c>
      <c r="G48" s="8">
        <f>Tabela1[[#This Row],[Valor Global]]-Tabela1[[#This Row],[Faturado Acumulado]]</f>
        <v>4176.9966669788228</v>
      </c>
      <c r="H48" s="6" t="str">
        <f>VLOOKUP(Tabela1[[#This Row],[Número]],SAMC!A:F,4,0)</f>
        <v>Civil</v>
      </c>
      <c r="I48" s="1" t="str">
        <f>VLOOKUP(Tabela1[[#This Row],[Número]],SAMC!A:F,3,0)</f>
        <v>Civil (projeto e manutenção civil) - Betim</v>
      </c>
      <c r="J48" s="28"/>
      <c r="K48" s="28"/>
    </row>
    <row r="49" spans="1:11" s="19" customFormat="1" x14ac:dyDescent="0.35">
      <c r="A49" s="12" t="s">
        <v>591</v>
      </c>
      <c r="B49" s="1" t="s">
        <v>592</v>
      </c>
      <c r="C49" s="6" t="s">
        <v>72</v>
      </c>
      <c r="D49" s="6" t="str">
        <f>VLOOKUP(Tabela1[[#This Row],[Número]],SAMC!A:F,6,0)</f>
        <v>Aguardando classif contabil</v>
      </c>
      <c r="E49" s="7">
        <v>945261.41</v>
      </c>
      <c r="F49" s="7">
        <v>0</v>
      </c>
      <c r="G49" s="8">
        <f>Tabela1[[#This Row],[Valor Global]]-Tabela1[[#This Row],[Faturado Acumulado]]</f>
        <v>945261.41</v>
      </c>
      <c r="H49" s="6" t="str">
        <f>VLOOKUP(Tabela1[[#This Row],[Número]],SAMC!A:F,4,0)</f>
        <v>Civil</v>
      </c>
      <c r="I49" s="1" t="str">
        <f>VLOOKUP(Tabela1[[#This Row],[Número]],SAMC!A:F,3,0)</f>
        <v>Civil (projeto e manutenção civil) - Betim</v>
      </c>
      <c r="J49" s="28"/>
      <c r="K49" s="28"/>
    </row>
    <row r="50" spans="1:11" s="19" customFormat="1" x14ac:dyDescent="0.35">
      <c r="A50" s="12" t="s">
        <v>593</v>
      </c>
      <c r="B50" s="1" t="s">
        <v>594</v>
      </c>
      <c r="C50" s="6" t="s">
        <v>72</v>
      </c>
      <c r="D50" s="6" t="str">
        <f>VLOOKUP(Tabela1[[#This Row],[Número]],SAMC!A:F,6,0)</f>
        <v>Em Andamento</v>
      </c>
      <c r="E50" s="7">
        <v>296510.92</v>
      </c>
      <c r="F50" s="7">
        <v>593.71935795529407</v>
      </c>
      <c r="G50" s="8">
        <f>Tabela1[[#This Row],[Valor Global]]-Tabela1[[#This Row],[Faturado Acumulado]]</f>
        <v>295917.20064204471</v>
      </c>
      <c r="H50" s="6" t="str">
        <f>VLOOKUP(Tabela1[[#This Row],[Número]],SAMC!A:F,4,0)</f>
        <v>Civil</v>
      </c>
      <c r="I50" s="1" t="str">
        <f>VLOOKUP(Tabela1[[#This Row],[Número]],SAMC!A:F,3,0)</f>
        <v>Civil (projeto e manutenção civil) - Betim</v>
      </c>
      <c r="J50" s="28"/>
      <c r="K50" s="28"/>
    </row>
    <row r="51" spans="1:11" s="19" customFormat="1" x14ac:dyDescent="0.35">
      <c r="A51" s="12" t="s">
        <v>597</v>
      </c>
      <c r="B51" s="1" t="s">
        <v>598</v>
      </c>
      <c r="C51" s="6" t="s">
        <v>72</v>
      </c>
      <c r="D51" s="6" t="str">
        <f>VLOOKUP(Tabela1[[#This Row],[Número]],SAMC!A:F,6,0)</f>
        <v>Em Andamento</v>
      </c>
      <c r="E51" s="7">
        <v>224133.83</v>
      </c>
      <c r="F51" s="7">
        <v>0</v>
      </c>
      <c r="G51" s="8">
        <f>Tabela1[[#This Row],[Valor Global]]-Tabela1[[#This Row],[Faturado Acumulado]]</f>
        <v>224133.83</v>
      </c>
      <c r="H51" s="6" t="str">
        <f>VLOOKUP(Tabela1[[#This Row],[Número]],SAMC!A:F,4,0)</f>
        <v>Apoio - HS</v>
      </c>
      <c r="I51" s="1" t="str">
        <f>VLOOKUP(Tabela1[[#This Row],[Número]],SAMC!A:F,3,0)</f>
        <v>Civil (projeto e manutenção civil) - Betim</v>
      </c>
      <c r="J51" s="28"/>
      <c r="K51" s="28"/>
    </row>
    <row r="52" spans="1:11" s="19" customFormat="1" x14ac:dyDescent="0.35">
      <c r="A52" s="12" t="s">
        <v>599</v>
      </c>
      <c r="B52" s="1" t="s">
        <v>600</v>
      </c>
      <c r="C52" s="6" t="s">
        <v>72</v>
      </c>
      <c r="D52" s="6" t="str">
        <f>VLOOKUP(Tabela1[[#This Row],[Número]],SAMC!A:F,6,0)</f>
        <v>Em Andamento</v>
      </c>
      <c r="E52" s="7">
        <v>1256677.8500000001</v>
      </c>
      <c r="F52" s="7">
        <v>114195.9766258903</v>
      </c>
      <c r="G52" s="8">
        <f>Tabela1[[#This Row],[Valor Global]]-Tabela1[[#This Row],[Faturado Acumulado]]</f>
        <v>1142481.8733741099</v>
      </c>
      <c r="H52" s="6" t="str">
        <f>VLOOKUP(Tabela1[[#This Row],[Número]],SAMC!A:F,4,0)</f>
        <v>Civil</v>
      </c>
      <c r="I52" s="1" t="str">
        <f>VLOOKUP(Tabela1[[#This Row],[Número]],SAMC!A:F,3,0)</f>
        <v>Civil (projeto e manutenção civil) - Betim</v>
      </c>
      <c r="J52" s="28"/>
      <c r="K52" s="28"/>
    </row>
    <row r="53" spans="1:11" s="19" customFormat="1" x14ac:dyDescent="0.35">
      <c r="A53" s="12" t="s">
        <v>601</v>
      </c>
      <c r="B53" s="1" t="s">
        <v>602</v>
      </c>
      <c r="C53" s="6" t="s">
        <v>73</v>
      </c>
      <c r="D53" s="6" t="str">
        <f>VLOOKUP(Tabela1[[#This Row],[Número]],SAMC!A:F,6,0)</f>
        <v>Em Andamento</v>
      </c>
      <c r="E53" s="7">
        <v>14097.133144484153</v>
      </c>
      <c r="F53" s="7">
        <v>0</v>
      </c>
      <c r="G53" s="8">
        <f>Tabela1[[#This Row],[Valor Global]]-Tabela1[[#This Row],[Faturado Acumulado]]</f>
        <v>14097.133144484153</v>
      </c>
      <c r="H53" s="6" t="str">
        <f>VLOOKUP(Tabela1[[#This Row],[Número]],SAMC!A:F,4,0)</f>
        <v>Elétrica e Instrumentação</v>
      </c>
      <c r="I53" s="1" t="str">
        <f>VLOOKUP(Tabela1[[#This Row],[Número]],SAMC!A:F,3,0)</f>
        <v>Elétrica e Instrumentação- Betim</v>
      </c>
      <c r="J53" s="28"/>
      <c r="K53" s="28"/>
    </row>
    <row r="54" spans="1:11" s="19" customFormat="1" x14ac:dyDescent="0.35">
      <c r="A54" s="12" t="s">
        <v>603</v>
      </c>
      <c r="B54" s="1" t="s">
        <v>604</v>
      </c>
      <c r="C54" s="6" t="s">
        <v>73</v>
      </c>
      <c r="D54" s="6" t="str">
        <f>VLOOKUP(Tabela1[[#This Row],[Número]],SAMC!A:F,6,0)</f>
        <v>Encaminhado p/ o fornecedor</v>
      </c>
      <c r="E54" s="7">
        <v>62290.870894227446</v>
      </c>
      <c r="F54" s="7">
        <v>0</v>
      </c>
      <c r="G54" s="8">
        <f>Tabela1[[#This Row],[Valor Global]]-Tabela1[[#This Row],[Faturado Acumulado]]</f>
        <v>62290.870894227446</v>
      </c>
      <c r="H54" s="6" t="str">
        <f>VLOOKUP(Tabela1[[#This Row],[Número]],SAMC!A:F,4,0)</f>
        <v>Elétrica e Instrumentação</v>
      </c>
      <c r="I54" s="1" t="str">
        <f>VLOOKUP(Tabela1[[#This Row],[Número]],SAMC!A:F,3,0)</f>
        <v>Elétrica e Instrumentação- Betim</v>
      </c>
      <c r="J54" s="28"/>
      <c r="K54" s="28"/>
    </row>
    <row r="55" spans="1:11" s="19" customFormat="1" x14ac:dyDescent="0.35">
      <c r="A55" s="12" t="s">
        <v>605</v>
      </c>
      <c r="B55" s="1" t="s">
        <v>606</v>
      </c>
      <c r="C55" s="6" t="s">
        <v>73</v>
      </c>
      <c r="D55" s="6" t="str">
        <f>VLOOKUP(Tabela1[[#This Row],[Número]],SAMC!A:F,6,0)</f>
        <v>Encaminhado p/ o fornecedor</v>
      </c>
      <c r="E55" s="7">
        <v>4391.4799999999996</v>
      </c>
      <c r="F55" s="7">
        <v>0</v>
      </c>
      <c r="G55" s="8">
        <f>Tabela1[[#This Row],[Valor Global]]-Tabela1[[#This Row],[Faturado Acumulado]]</f>
        <v>4391.4799999999996</v>
      </c>
      <c r="H55" s="6" t="str">
        <f>VLOOKUP(Tabela1[[#This Row],[Número]],SAMC!A:F,4,0)</f>
        <v>Elétrica e Instrumentação</v>
      </c>
      <c r="I55" s="1" t="str">
        <f>VLOOKUP(Tabela1[[#This Row],[Número]],SAMC!A:F,3,0)</f>
        <v>Elétrica e Instrumentação- Betim</v>
      </c>
      <c r="J55" s="28"/>
      <c r="K55" s="28"/>
    </row>
    <row r="56" spans="1:11" s="19" customFormat="1" x14ac:dyDescent="0.35">
      <c r="A56" s="12" t="s">
        <v>607</v>
      </c>
      <c r="B56" s="1" t="s">
        <v>608</v>
      </c>
      <c r="C56" s="6" t="s">
        <v>73</v>
      </c>
      <c r="D56" s="6" t="str">
        <f>VLOOKUP(Tabela1[[#This Row],[Número]],SAMC!A:F,6,0)</f>
        <v>Encaminhado p/ o fornecedor</v>
      </c>
      <c r="E56" s="7">
        <v>27242.7</v>
      </c>
      <c r="F56" s="7">
        <v>0</v>
      </c>
      <c r="G56" s="8">
        <f>Tabela1[[#This Row],[Valor Global]]-Tabela1[[#This Row],[Faturado Acumulado]]</f>
        <v>27242.7</v>
      </c>
      <c r="H56" s="6" t="str">
        <f>VLOOKUP(Tabela1[[#This Row],[Número]],SAMC!A:F,4,0)</f>
        <v>Elétrica e Instrumentação</v>
      </c>
      <c r="I56" s="1" t="str">
        <f>VLOOKUP(Tabela1[[#This Row],[Número]],SAMC!A:F,3,0)</f>
        <v>Elétrica e Instrumentação- Betim</v>
      </c>
      <c r="J56" s="28"/>
      <c r="K56" s="28"/>
    </row>
    <row r="57" spans="1:11" s="19" customFormat="1" x14ac:dyDescent="0.35">
      <c r="A57" s="12" t="s">
        <v>609</v>
      </c>
      <c r="B57" s="1" t="s">
        <v>610</v>
      </c>
      <c r="C57" s="6" t="s">
        <v>73</v>
      </c>
      <c r="D57" s="6" t="str">
        <f>VLOOKUP(Tabela1[[#This Row],[Número]],SAMC!A:F,6,0)</f>
        <v>Encaminhado p/ o fornecedor</v>
      </c>
      <c r="E57" s="7">
        <v>2283.13</v>
      </c>
      <c r="F57" s="7">
        <v>0</v>
      </c>
      <c r="G57" s="8">
        <f>Tabela1[[#This Row],[Valor Global]]-Tabela1[[#This Row],[Faturado Acumulado]]</f>
        <v>2283.13</v>
      </c>
      <c r="H57" s="6" t="str">
        <f>VLOOKUP(Tabela1[[#This Row],[Número]],SAMC!A:F,4,0)</f>
        <v>Elétrica e Instrumentação</v>
      </c>
      <c r="I57" s="1" t="str">
        <f>VLOOKUP(Tabela1[[#This Row],[Número]],SAMC!A:F,3,0)</f>
        <v>Elétrica e Instrumentação- Betim</v>
      </c>
      <c r="J57" s="28"/>
      <c r="K57" s="28"/>
    </row>
    <row r="58" spans="1:11" s="19" customFormat="1" x14ac:dyDescent="0.35">
      <c r="A58" s="12" t="s">
        <v>611</v>
      </c>
      <c r="B58" s="1" t="s">
        <v>612</v>
      </c>
      <c r="C58" s="6" t="s">
        <v>73</v>
      </c>
      <c r="D58" s="6" t="str">
        <f>VLOOKUP(Tabela1[[#This Row],[Número]],SAMC!A:F,6,0)</f>
        <v>Encaminhado p/ o fornecedor</v>
      </c>
      <c r="E58" s="7">
        <v>30130.965517282428</v>
      </c>
      <c r="F58" s="7">
        <v>0</v>
      </c>
      <c r="G58" s="8">
        <f>Tabela1[[#This Row],[Valor Global]]-Tabela1[[#This Row],[Faturado Acumulado]]</f>
        <v>30130.965517282428</v>
      </c>
      <c r="H58" s="6" t="str">
        <f>VLOOKUP(Tabela1[[#This Row],[Número]],SAMC!A:F,4,0)</f>
        <v>Elétrica e Instrumentação</v>
      </c>
      <c r="I58" s="1" t="str">
        <f>VLOOKUP(Tabela1[[#This Row],[Número]],SAMC!A:F,3,0)</f>
        <v>Elétrica e Instrumentação- Betim</v>
      </c>
      <c r="J58" s="28"/>
      <c r="K58" s="28"/>
    </row>
    <row r="59" spans="1:11" s="19" customFormat="1" x14ac:dyDescent="0.35">
      <c r="A59" s="12" t="s">
        <v>613</v>
      </c>
      <c r="B59" s="1" t="s">
        <v>614</v>
      </c>
      <c r="C59" s="6" t="s">
        <v>72</v>
      </c>
      <c r="D59" s="6" t="str">
        <f>VLOOKUP(Tabela1[[#This Row],[Número]],SAMC!A:F,6,0)</f>
        <v>Em Revisão</v>
      </c>
      <c r="E59" s="7">
        <v>66721.88</v>
      </c>
      <c r="F59" s="7">
        <v>47974.785318691844</v>
      </c>
      <c r="G59" s="8">
        <f>Tabela1[[#This Row],[Valor Global]]-Tabela1[[#This Row],[Faturado Acumulado]]</f>
        <v>18747.094681308161</v>
      </c>
      <c r="H59" s="6" t="str">
        <f>VLOOKUP(Tabela1[[#This Row],[Número]],SAMC!A:F,4,0)</f>
        <v>Elétrica e Instrumentação</v>
      </c>
      <c r="I59" s="1" t="str">
        <f>VLOOKUP(Tabela1[[#This Row],[Número]],SAMC!A:F,3,0)</f>
        <v>Elétrica e Instrumentação- Betim</v>
      </c>
      <c r="J59" s="28"/>
      <c r="K59" s="28"/>
    </row>
    <row r="60" spans="1:11" s="19" customFormat="1" x14ac:dyDescent="0.35">
      <c r="A60" s="12" t="s">
        <v>615</v>
      </c>
      <c r="B60" s="1" t="s">
        <v>616</v>
      </c>
      <c r="C60" s="6" t="s">
        <v>72</v>
      </c>
      <c r="D60" s="6" t="str">
        <f>VLOOKUP(Tabela1[[#This Row],[Número]],SAMC!A:F,6,0)</f>
        <v>Em Andamento</v>
      </c>
      <c r="E60" s="7">
        <v>8136.58</v>
      </c>
      <c r="F60" s="7">
        <v>4761.7466405262039</v>
      </c>
      <c r="G60" s="8">
        <f>Tabela1[[#This Row],[Valor Global]]-Tabela1[[#This Row],[Faturado Acumulado]]</f>
        <v>3374.833359473796</v>
      </c>
      <c r="H60" s="6" t="str">
        <f>VLOOKUP(Tabela1[[#This Row],[Número]],SAMC!A:F,4,0)</f>
        <v>Civil</v>
      </c>
      <c r="I60" s="1" t="str">
        <f>VLOOKUP(Tabela1[[#This Row],[Número]],SAMC!A:F,3,0)</f>
        <v>Civil (projeto e manutenção civil) - Betim</v>
      </c>
      <c r="J60" s="28"/>
      <c r="K60" s="28"/>
    </row>
    <row r="61" spans="1:11" s="19" customFormat="1" x14ac:dyDescent="0.35">
      <c r="A61" s="12" t="s">
        <v>617</v>
      </c>
      <c r="B61" s="1" t="s">
        <v>618</v>
      </c>
      <c r="C61" s="6" t="s">
        <v>72</v>
      </c>
      <c r="D61" s="6" t="str">
        <f>VLOOKUP(Tabela1[[#This Row],[Número]],SAMC!A:F,6,0)</f>
        <v>Em Andamento</v>
      </c>
      <c r="E61" s="7">
        <v>8136.58</v>
      </c>
      <c r="F61" s="7">
        <v>2034.1441959529413</v>
      </c>
      <c r="G61" s="8">
        <f>Tabela1[[#This Row],[Valor Global]]-Tabela1[[#This Row],[Faturado Acumulado]]</f>
        <v>6102.4358040470588</v>
      </c>
      <c r="H61" s="6" t="str">
        <f>VLOOKUP(Tabela1[[#This Row],[Número]],SAMC!A:F,4,0)</f>
        <v>Civil</v>
      </c>
      <c r="I61" s="1" t="str">
        <f>VLOOKUP(Tabela1[[#This Row],[Número]],SAMC!A:F,3,0)</f>
        <v>Civil (projeto e manutenção civil) - Betim</v>
      </c>
      <c r="J61" s="28"/>
      <c r="K61" s="28"/>
    </row>
    <row r="62" spans="1:11" s="19" customFormat="1" x14ac:dyDescent="0.35">
      <c r="A62" s="12" t="s">
        <v>619</v>
      </c>
      <c r="B62" s="1" t="s">
        <v>620</v>
      </c>
      <c r="C62" s="6" t="s">
        <v>72</v>
      </c>
      <c r="D62" s="6" t="str">
        <f>VLOOKUP(Tabela1[[#This Row],[Número]],SAMC!A:F,6,0)</f>
        <v>Em Andamento</v>
      </c>
      <c r="E62" s="7">
        <v>8136.58</v>
      </c>
      <c r="F62" s="7">
        <v>0</v>
      </c>
      <c r="G62" s="8">
        <f>Tabela1[[#This Row],[Valor Global]]-Tabela1[[#This Row],[Faturado Acumulado]]</f>
        <v>8136.58</v>
      </c>
      <c r="H62" s="6" t="str">
        <f>VLOOKUP(Tabela1[[#This Row],[Número]],SAMC!A:F,4,0)</f>
        <v>Civil</v>
      </c>
      <c r="I62" s="1" t="str">
        <f>VLOOKUP(Tabela1[[#This Row],[Número]],SAMC!A:F,3,0)</f>
        <v>Civil (projeto e manutenção civil) - Betim</v>
      </c>
      <c r="J62" s="28"/>
      <c r="K62" s="28"/>
    </row>
    <row r="63" spans="1:11" s="19" customFormat="1" x14ac:dyDescent="0.35">
      <c r="A63" s="12" t="s">
        <v>621</v>
      </c>
      <c r="B63" s="1" t="s">
        <v>622</v>
      </c>
      <c r="C63" s="6" t="s">
        <v>72</v>
      </c>
      <c r="D63" s="6" t="str">
        <f>VLOOKUP(Tabela1[[#This Row],[Número]],SAMC!A:F,6,0)</f>
        <v>Em Andamento</v>
      </c>
      <c r="E63" s="7">
        <v>8136.58</v>
      </c>
      <c r="F63" s="7">
        <v>5085.3604898823532</v>
      </c>
      <c r="G63" s="8">
        <f>Tabela1[[#This Row],[Valor Global]]-Tabela1[[#This Row],[Faturado Acumulado]]</f>
        <v>3051.2195101176467</v>
      </c>
      <c r="H63" s="6" t="str">
        <f>VLOOKUP(Tabela1[[#This Row],[Número]],SAMC!A:F,4,0)</f>
        <v>Civil</v>
      </c>
      <c r="I63" s="1" t="str">
        <f>VLOOKUP(Tabela1[[#This Row],[Número]],SAMC!A:F,3,0)</f>
        <v>Civil (projeto e manutenção civil) - Betim</v>
      </c>
      <c r="J63" s="28"/>
      <c r="K63" s="28"/>
    </row>
    <row r="64" spans="1:11" s="19" customFormat="1" x14ac:dyDescent="0.35">
      <c r="A64" s="12" t="s">
        <v>625</v>
      </c>
      <c r="B64" s="1" t="s">
        <v>626</v>
      </c>
      <c r="C64" s="6" t="s">
        <v>72</v>
      </c>
      <c r="D64" s="6" t="str">
        <f>VLOOKUP(Tabela1[[#This Row],[Número]],SAMC!A:F,6,0)</f>
        <v>Em Andamento</v>
      </c>
      <c r="E64" s="7">
        <v>766634.7</v>
      </c>
      <c r="F64" s="7">
        <v>35078.681110697333</v>
      </c>
      <c r="G64" s="8">
        <f>Tabela1[[#This Row],[Valor Global]]-Tabela1[[#This Row],[Faturado Acumulado]]</f>
        <v>731556.01888930262</v>
      </c>
      <c r="H64" s="6" t="str">
        <f>VLOOKUP(Tabela1[[#This Row],[Número]],SAMC!A:F,4,0)</f>
        <v>Civil</v>
      </c>
      <c r="I64" s="1" t="str">
        <f>VLOOKUP(Tabela1[[#This Row],[Número]],SAMC!A:F,3,0)</f>
        <v>Civil (projeto e manutenção civil) - Betim</v>
      </c>
      <c r="J64" s="28"/>
      <c r="K64" s="28"/>
    </row>
    <row r="65" spans="1:11" s="19" customFormat="1" x14ac:dyDescent="0.35">
      <c r="A65" s="12" t="s">
        <v>627</v>
      </c>
      <c r="B65" s="1" t="s">
        <v>628</v>
      </c>
      <c r="C65" s="6" t="s">
        <v>72</v>
      </c>
      <c r="D65" s="6" t="str">
        <f>VLOOKUP(Tabela1[[#This Row],[Número]],SAMC!A:F,6,0)</f>
        <v>Em Andamento</v>
      </c>
      <c r="E65" s="7">
        <v>8280.31</v>
      </c>
      <c r="F65" s="7">
        <v>0</v>
      </c>
      <c r="G65" s="8">
        <f>Tabela1[[#This Row],[Valor Global]]-Tabela1[[#This Row],[Faturado Acumulado]]</f>
        <v>8280.31</v>
      </c>
      <c r="H65" s="6" t="str">
        <f>VLOOKUP(Tabela1[[#This Row],[Número]],SAMC!A:F,4,0)</f>
        <v>Civil</v>
      </c>
      <c r="I65" s="1" t="str">
        <f>VLOOKUP(Tabela1[[#This Row],[Número]],SAMC!A:F,3,0)</f>
        <v>Civil (projeto e manutenção civil) - Betim</v>
      </c>
      <c r="J65" s="28"/>
      <c r="K65" s="28"/>
    </row>
    <row r="66" spans="1:11" s="19" customFormat="1" x14ac:dyDescent="0.35">
      <c r="A66" s="12" t="s">
        <v>629</v>
      </c>
      <c r="B66" s="1" t="s">
        <v>630</v>
      </c>
      <c r="C66" s="6" t="s">
        <v>72</v>
      </c>
      <c r="D66" s="6" t="str">
        <f>VLOOKUP(Tabela1[[#This Row],[Número]],SAMC!A:F,6,0)</f>
        <v>Em Andamento</v>
      </c>
      <c r="E66" s="7">
        <v>30512.162939294118</v>
      </c>
      <c r="F66" s="7">
        <v>9153.6488817882346</v>
      </c>
      <c r="G66" s="8">
        <f>Tabela1[[#This Row],[Valor Global]]-Tabela1[[#This Row],[Faturado Acumulado]]</f>
        <v>21358.514057505883</v>
      </c>
      <c r="H66" s="6" t="str">
        <f>VLOOKUP(Tabela1[[#This Row],[Número]],SAMC!A:F,4,0)</f>
        <v>Civil</v>
      </c>
      <c r="I66" s="1" t="str">
        <f>VLOOKUP(Tabela1[[#This Row],[Número]],SAMC!A:F,3,0)</f>
        <v>Civil (projeto e manutenção civil) - Betim</v>
      </c>
      <c r="J66" s="28"/>
      <c r="K66" s="28"/>
    </row>
    <row r="67" spans="1:11" s="19" customFormat="1" x14ac:dyDescent="0.35">
      <c r="A67" s="12" t="s">
        <v>631</v>
      </c>
      <c r="B67" s="1" t="s">
        <v>632</v>
      </c>
      <c r="C67" s="6" t="s">
        <v>72</v>
      </c>
      <c r="D67" s="6" t="str">
        <f>VLOOKUP(Tabela1[[#This Row],[Número]],SAMC!A:F,6,0)</f>
        <v>Em Andamento</v>
      </c>
      <c r="E67" s="7">
        <v>30512.16</v>
      </c>
      <c r="F67" s="7">
        <v>16273.153567623531</v>
      </c>
      <c r="G67" s="8">
        <f>Tabela1[[#This Row],[Valor Global]]-Tabela1[[#This Row],[Faturado Acumulado]]</f>
        <v>14239.006432376469</v>
      </c>
      <c r="H67" s="6" t="str">
        <f>VLOOKUP(Tabela1[[#This Row],[Número]],SAMC!A:F,4,0)</f>
        <v>Civil</v>
      </c>
      <c r="I67" s="1" t="str">
        <f>VLOOKUP(Tabela1[[#This Row],[Número]],SAMC!A:F,3,0)</f>
        <v>Civil (projeto e manutenção civil) - Betim</v>
      </c>
      <c r="J67" s="28"/>
      <c r="K67" s="28"/>
    </row>
    <row r="68" spans="1:11" s="19" customFormat="1" x14ac:dyDescent="0.35">
      <c r="A68" s="12" t="s">
        <v>633</v>
      </c>
      <c r="B68" s="1" t="s">
        <v>1018</v>
      </c>
      <c r="C68" s="6" t="s">
        <v>73</v>
      </c>
      <c r="D68" s="6" t="str">
        <f>VLOOKUP(Tabela1[[#This Row],[Número]],SAMC!A:F,6,0)</f>
        <v>Aguardando classif contabil</v>
      </c>
      <c r="E68" s="7">
        <v>30512.16</v>
      </c>
      <c r="F68" s="7">
        <v>0</v>
      </c>
      <c r="G68" s="8">
        <f>Tabela1[[#This Row],[Valor Global]]-Tabela1[[#This Row],[Faturado Acumulado]]</f>
        <v>30512.16</v>
      </c>
      <c r="H68" s="6" t="str">
        <f>VLOOKUP(Tabela1[[#This Row],[Número]],SAMC!A:F,4,0)</f>
        <v>Civil</v>
      </c>
      <c r="I68" s="1" t="str">
        <f>VLOOKUP(Tabela1[[#This Row],[Número]],SAMC!A:F,3,0)</f>
        <v>Civil (projeto e manutenção civil) - Betim</v>
      </c>
      <c r="J68" s="28"/>
      <c r="K68" s="28"/>
    </row>
    <row r="69" spans="1:11" s="19" customFormat="1" x14ac:dyDescent="0.35">
      <c r="A69" s="12" t="s">
        <v>644</v>
      </c>
      <c r="B69" s="1" t="s">
        <v>645</v>
      </c>
      <c r="C69" s="6" t="s">
        <v>72</v>
      </c>
      <c r="D69" s="6" t="str">
        <f>VLOOKUP(Tabela1[[#This Row],[Número]],SAMC!A:F,6,0)</f>
        <v>Aguardando Aprovação da Revisão</v>
      </c>
      <c r="E69" s="7">
        <v>1458750.9</v>
      </c>
      <c r="F69" s="7">
        <v>0</v>
      </c>
      <c r="G69" s="8">
        <f>Tabela1[[#This Row],[Valor Global]]-Tabela1[[#This Row],[Faturado Acumulado]]</f>
        <v>1458750.9</v>
      </c>
      <c r="H69" s="6" t="str">
        <f>VLOOKUP(Tabela1[[#This Row],[Número]],SAMC!A:F,4,0)</f>
        <v>Civil</v>
      </c>
      <c r="I69" s="1" t="str">
        <f>VLOOKUP(Tabela1[[#This Row],[Número]],SAMC!A:F,3,0)</f>
        <v>Civil (projeto e manutenção civil) - Betim</v>
      </c>
      <c r="J69" s="28"/>
      <c r="K69" s="28"/>
    </row>
    <row r="70" spans="1:11" s="19" customFormat="1" x14ac:dyDescent="0.35">
      <c r="A70" s="12" t="s">
        <v>646</v>
      </c>
      <c r="B70" s="1" t="s">
        <v>647</v>
      </c>
      <c r="C70" s="6" t="s">
        <v>72</v>
      </c>
      <c r="D70" s="6" t="str">
        <f>VLOOKUP(Tabela1[[#This Row],[Número]],SAMC!A:F,6,0)</f>
        <v>Em Andamento</v>
      </c>
      <c r="E70" s="7">
        <v>1565776.08</v>
      </c>
      <c r="F70" s="7">
        <v>0</v>
      </c>
      <c r="G70" s="8">
        <f>Tabela1[[#This Row],[Valor Global]]-Tabela1[[#This Row],[Faturado Acumulado]]</f>
        <v>1565776.08</v>
      </c>
      <c r="H70" s="6" t="str">
        <f>VLOOKUP(Tabela1[[#This Row],[Número]],SAMC!A:F,4,0)</f>
        <v>Civil</v>
      </c>
      <c r="I70" s="1" t="str">
        <f>VLOOKUP(Tabela1[[#This Row],[Número]],SAMC!A:F,3,0)</f>
        <v>Civil (projeto e manutenção civil) - Betim</v>
      </c>
      <c r="J70" s="28"/>
      <c r="K70" s="28"/>
    </row>
    <row r="71" spans="1:11" s="19" customFormat="1" x14ac:dyDescent="0.35">
      <c r="A71" s="12" t="s">
        <v>648</v>
      </c>
      <c r="B71" s="1" t="s">
        <v>1007</v>
      </c>
      <c r="C71" s="6" t="s">
        <v>72</v>
      </c>
      <c r="D71" s="6" t="str">
        <f>VLOOKUP(Tabela1[[#This Row],[Número]],SAMC!A:F,6,0)</f>
        <v>Encaminhado p/ o fornecedor</v>
      </c>
      <c r="E71" s="7">
        <v>68735.865248590853</v>
      </c>
      <c r="F71" s="7">
        <v>0</v>
      </c>
      <c r="G71" s="8">
        <f>Tabela1[[#This Row],[Valor Global]]-Tabela1[[#This Row],[Faturado Acumulado]]</f>
        <v>68735.865248590853</v>
      </c>
      <c r="H71" s="6" t="str">
        <f>VLOOKUP(Tabela1[[#This Row],[Número]],SAMC!A:F,4,0)</f>
        <v>Elétrica e Instrumentação</v>
      </c>
      <c r="I71" s="1" t="str">
        <f>VLOOKUP(Tabela1[[#This Row],[Número]],SAMC!A:F,3,0)</f>
        <v>Elétrica e Instrumentação- Betim</v>
      </c>
      <c r="J71" s="28"/>
      <c r="K71" s="28"/>
    </row>
    <row r="72" spans="1:11" s="19" customFormat="1" x14ac:dyDescent="0.35">
      <c r="A72" s="12" t="s">
        <v>650</v>
      </c>
      <c r="B72" s="1" t="s">
        <v>651</v>
      </c>
      <c r="C72" s="6" t="s">
        <v>72</v>
      </c>
      <c r="D72" s="6" t="str">
        <f>VLOOKUP(Tabela1[[#This Row],[Número]],SAMC!A:F,6,0)</f>
        <v>Em Revisão</v>
      </c>
      <c r="E72" s="7">
        <v>1713.62</v>
      </c>
      <c r="F72" s="7">
        <v>0</v>
      </c>
      <c r="G72" s="8">
        <f>Tabela1[[#This Row],[Valor Global]]-Tabela1[[#This Row],[Faturado Acumulado]]</f>
        <v>1713.62</v>
      </c>
      <c r="H72" s="6" t="str">
        <f>VLOOKUP(Tabela1[[#This Row],[Número]],SAMC!A:F,4,0)</f>
        <v>Mecânica e Caldeiraria</v>
      </c>
      <c r="I72" s="1" t="str">
        <f>VLOOKUP(Tabela1[[#This Row],[Número]],SAMC!A:F,3,0)</f>
        <v>Mecânica - Betim</v>
      </c>
      <c r="J72" s="28"/>
      <c r="K72" s="28"/>
    </row>
    <row r="73" spans="1:11" s="19" customFormat="1" x14ac:dyDescent="0.35">
      <c r="A73" s="12" t="s">
        <v>652</v>
      </c>
      <c r="B73" s="1" t="s">
        <v>653</v>
      </c>
      <c r="C73" s="6" t="s">
        <v>72</v>
      </c>
      <c r="D73" s="6" t="str">
        <f>VLOOKUP(Tabela1[[#This Row],[Número]],SAMC!A:F,6,0)</f>
        <v>Aguardando Aprovação da Revisão</v>
      </c>
      <c r="E73" s="7">
        <v>20301.89</v>
      </c>
      <c r="F73" s="7">
        <v>0</v>
      </c>
      <c r="G73" s="8">
        <f>Tabela1[[#This Row],[Valor Global]]-Tabela1[[#This Row],[Faturado Acumulado]]</f>
        <v>20301.89</v>
      </c>
      <c r="H73" s="6" t="str">
        <f>VLOOKUP(Tabela1[[#This Row],[Número]],SAMC!A:F,4,0)</f>
        <v>Elétrica e Instrumentação</v>
      </c>
      <c r="I73" s="1" t="str">
        <f>VLOOKUP(Tabela1[[#This Row],[Número]],SAMC!A:F,3,0)</f>
        <v>Elétrica e Instrumentação- Betim</v>
      </c>
      <c r="J73" s="28"/>
      <c r="K73" s="28"/>
    </row>
    <row r="74" spans="1:11" s="19" customFormat="1" x14ac:dyDescent="0.35">
      <c r="A74" s="12" t="s">
        <v>654</v>
      </c>
      <c r="B74" s="1" t="s">
        <v>655</v>
      </c>
      <c r="C74" s="6" t="s">
        <v>72</v>
      </c>
      <c r="D74" s="2" t="str">
        <f>VLOOKUP(Tabela1[[#This Row],[Número]],SAMC!A:F,6,0)</f>
        <v>Em Revisão</v>
      </c>
      <c r="E74" s="7">
        <v>621.38568204519197</v>
      </c>
      <c r="F74" s="27">
        <v>0</v>
      </c>
      <c r="G74" s="8">
        <f>Tabela1[[#This Row],[Valor Global]]-Tabela1[[#This Row],[Faturado Acumulado]]</f>
        <v>621.38568204519197</v>
      </c>
      <c r="H74" s="2" t="str">
        <f>VLOOKUP(Tabela1[[#This Row],[Número]],SAMC!A:F,4,0)</f>
        <v>Elétrica e Instrumentação</v>
      </c>
      <c r="I74" s="1" t="str">
        <f>VLOOKUP(Tabela1[[#This Row],[Número]],SAMC!A:F,3,0)</f>
        <v>Elétrica e Instrumentação- Betim</v>
      </c>
      <c r="J74" s="28"/>
      <c r="K74" s="28"/>
    </row>
    <row r="75" spans="1:11" s="19" customFormat="1" x14ac:dyDescent="0.35">
      <c r="A75" s="12" t="s">
        <v>656</v>
      </c>
      <c r="B75" s="1" t="s">
        <v>657</v>
      </c>
      <c r="C75" s="6" t="s">
        <v>72</v>
      </c>
      <c r="D75" s="2" t="str">
        <f>VLOOKUP(Tabela1[[#This Row],[Número]],SAMC!A:F,6,0)</f>
        <v>Em Andamento</v>
      </c>
      <c r="E75" s="7">
        <v>3950.71</v>
      </c>
      <c r="F75" s="27">
        <v>3743.0766582236161</v>
      </c>
      <c r="G75" s="8">
        <f>Tabela1[[#This Row],[Valor Global]]-Tabela1[[#This Row],[Faturado Acumulado]]</f>
        <v>207.63334177638399</v>
      </c>
      <c r="H75" s="6" t="str">
        <f>VLOOKUP(Tabela1[[#This Row],[Número]],SAMC!A:F,4,0)</f>
        <v>Elétrica e Instrumentação</v>
      </c>
      <c r="I75" s="1" t="str">
        <f>VLOOKUP(Tabela1[[#This Row],[Número]],SAMC!A:F,3,0)</f>
        <v>Elétrica e Instrumentação- Betim</v>
      </c>
      <c r="J75" s="28"/>
      <c r="K75" s="28"/>
    </row>
    <row r="76" spans="1:11" s="19" customFormat="1" x14ac:dyDescent="0.35">
      <c r="A76" s="12" t="s">
        <v>658</v>
      </c>
      <c r="B76" s="1" t="s">
        <v>659</v>
      </c>
      <c r="C76" s="6" t="s">
        <v>73</v>
      </c>
      <c r="D76" s="2" t="str">
        <f>VLOOKUP(Tabela1[[#This Row],[Número]],SAMC!A:F,6,0)</f>
        <v>Em Andamento</v>
      </c>
      <c r="E76" s="7">
        <v>17487.96</v>
      </c>
      <c r="F76" s="27">
        <v>1082.9845311058823</v>
      </c>
      <c r="G76" s="8">
        <f>Tabela1[[#This Row],[Valor Global]]-Tabela1[[#This Row],[Faturado Acumulado]]</f>
        <v>16404.975468894118</v>
      </c>
      <c r="H76" s="6" t="str">
        <f>VLOOKUP(Tabela1[[#This Row],[Número]],SAMC!A:F,4,0)</f>
        <v>Civil</v>
      </c>
      <c r="I76" s="1" t="str">
        <f>VLOOKUP(Tabela1[[#This Row],[Número]],SAMC!A:F,3,0)</f>
        <v>Civil (projeto e manutenção civil) - Betim</v>
      </c>
      <c r="J76" s="28"/>
      <c r="K76" s="28"/>
    </row>
    <row r="77" spans="1:11" s="19" customFormat="1" x14ac:dyDescent="0.35">
      <c r="A77" s="29" t="s">
        <v>660</v>
      </c>
      <c r="B77" s="1" t="s">
        <v>661</v>
      </c>
      <c r="C77" s="6" t="s">
        <v>72</v>
      </c>
      <c r="D77" s="2" t="str">
        <f>VLOOKUP(Tabela1[[#This Row],[Número]],SAMC!A:F,6,0)</f>
        <v>Em Andamento</v>
      </c>
      <c r="E77" s="7">
        <v>40914.949999999997</v>
      </c>
      <c r="F77" s="27">
        <v>0</v>
      </c>
      <c r="G77" s="8">
        <f>Tabela1[[#This Row],[Valor Global]]-Tabela1[[#This Row],[Faturado Acumulado]]</f>
        <v>40914.949999999997</v>
      </c>
      <c r="H77" s="6" t="str">
        <f>VLOOKUP(Tabela1[[#This Row],[Número]],SAMC!A:F,4,0)</f>
        <v>Elétrica e Instrumentação</v>
      </c>
      <c r="I77" s="1" t="str">
        <f>VLOOKUP(Tabela1[[#This Row],[Número]],SAMC!A:F,3,0)</f>
        <v>Elétrica e Instrumentação- Betim</v>
      </c>
      <c r="J77" s="28"/>
      <c r="K77" s="28"/>
    </row>
    <row r="78" spans="1:11" s="19" customFormat="1" x14ac:dyDescent="0.35">
      <c r="A78" s="12" t="s">
        <v>662</v>
      </c>
      <c r="B78" s="1" t="s">
        <v>663</v>
      </c>
      <c r="C78" s="6" t="s">
        <v>72</v>
      </c>
      <c r="D78" s="2" t="str">
        <f>VLOOKUP(Tabela1[[#This Row],[Número]],SAMC!A:F,6,0)</f>
        <v>Em Andamento</v>
      </c>
      <c r="E78" s="7">
        <v>553034.84</v>
      </c>
      <c r="F78" s="27">
        <v>178391.77934528753</v>
      </c>
      <c r="G78" s="8">
        <f>Tabela1[[#This Row],[Valor Global]]-Tabela1[[#This Row],[Faturado Acumulado]]</f>
        <v>374643.06065471243</v>
      </c>
      <c r="H78" s="6" t="str">
        <f>VLOOKUP(Tabela1[[#This Row],[Número]],SAMC!A:F,4,0)</f>
        <v>Civil</v>
      </c>
      <c r="I78" s="1" t="str">
        <f>VLOOKUP(Tabela1[[#This Row],[Número]],SAMC!A:F,3,0)</f>
        <v>Civil (projeto e manutenção civil) - Betim</v>
      </c>
      <c r="J78" s="28"/>
      <c r="K78" s="28"/>
    </row>
    <row r="79" spans="1:11" s="19" customFormat="1" x14ac:dyDescent="0.35">
      <c r="A79" s="12" t="s">
        <v>664</v>
      </c>
      <c r="B79" s="1" t="s">
        <v>665</v>
      </c>
      <c r="C79" s="6" t="s">
        <v>73</v>
      </c>
      <c r="D79" s="2" t="str">
        <f>VLOOKUP(Tabela1[[#This Row],[Número]],SAMC!A:F,6,0)</f>
        <v>Em Andamento</v>
      </c>
      <c r="E79" s="7">
        <v>162194.79740095692</v>
      </c>
      <c r="F79" s="27">
        <v>4783.28</v>
      </c>
      <c r="G79" s="8">
        <f>Tabela1[[#This Row],[Valor Global]]-Tabela1[[#This Row],[Faturado Acumulado]]</f>
        <v>157411.51740095692</v>
      </c>
      <c r="H79" s="6" t="str">
        <f>VLOOKUP(Tabela1[[#This Row],[Número]],SAMC!A:F,4,0)</f>
        <v>Revenda Materiais</v>
      </c>
      <c r="I79" s="1" t="str">
        <f>VLOOKUP(Tabela1[[#This Row],[Número]],SAMC!A:F,3,0)</f>
        <v>Receber Materiais - Regap-Betim</v>
      </c>
      <c r="J79" s="28"/>
      <c r="K79" s="28"/>
    </row>
    <row r="80" spans="1:11" s="19" customFormat="1" x14ac:dyDescent="0.35">
      <c r="A80" s="12" t="s">
        <v>666</v>
      </c>
      <c r="B80" s="1" t="s">
        <v>667</v>
      </c>
      <c r="C80" s="6" t="s">
        <v>73</v>
      </c>
      <c r="D80" s="2" t="str">
        <f>VLOOKUP(Tabela1[[#This Row],[Número]],SAMC!A:F,6,0)</f>
        <v>Em Andamento</v>
      </c>
      <c r="E80" s="7">
        <v>912150.81235757621</v>
      </c>
      <c r="F80" s="27">
        <v>519479.78664332512</v>
      </c>
      <c r="G80" s="8">
        <f>Tabela1[[#This Row],[Valor Global]]-Tabela1[[#This Row],[Faturado Acumulado]]</f>
        <v>392671.0257142511</v>
      </c>
      <c r="H80" s="6" t="str">
        <f>VLOOKUP(Tabela1[[#This Row],[Número]],SAMC!A:F,4,0)</f>
        <v>Mecânica e Caldeiraria</v>
      </c>
      <c r="I80" s="1" t="str">
        <f>VLOOKUP(Tabela1[[#This Row],[Número]],SAMC!A:F,3,0)</f>
        <v>Mecânica - Betim</v>
      </c>
      <c r="J80" s="28"/>
      <c r="K80" s="28"/>
    </row>
    <row r="81" spans="1:11" s="19" customFormat="1" x14ac:dyDescent="0.35">
      <c r="A81" s="29" t="s">
        <v>668</v>
      </c>
      <c r="B81" s="1" t="s">
        <v>669</v>
      </c>
      <c r="C81" s="6" t="s">
        <v>73</v>
      </c>
      <c r="D81" s="2" t="str">
        <f>VLOOKUP(Tabela1[[#This Row],[Número]],SAMC!A:F,6,0)</f>
        <v>Em Andamento</v>
      </c>
      <c r="E81" s="7">
        <v>1148756.1221663023</v>
      </c>
      <c r="F81" s="27">
        <v>0</v>
      </c>
      <c r="G81" s="8">
        <f>Tabela1[[#This Row],[Valor Global]]-Tabela1[[#This Row],[Faturado Acumulado]]</f>
        <v>1148756.1221663023</v>
      </c>
      <c r="H81" s="6" t="str">
        <f>VLOOKUP(Tabela1[[#This Row],[Número]],SAMC!A:F,4,0)</f>
        <v>Mecânica e Caldeiraria</v>
      </c>
      <c r="I81" s="1" t="str">
        <f>VLOOKUP(Tabela1[[#This Row],[Número]],SAMC!A:F,3,0)</f>
        <v>Mecânica - Betim</v>
      </c>
      <c r="J81" s="28"/>
      <c r="K81" s="28"/>
    </row>
    <row r="82" spans="1:11" s="19" customFormat="1" x14ac:dyDescent="0.35">
      <c r="A82" s="12" t="s">
        <v>998</v>
      </c>
      <c r="B82" s="1" t="s">
        <v>999</v>
      </c>
      <c r="C82" s="6" t="s">
        <v>73</v>
      </c>
      <c r="D82" s="2" t="str">
        <f>VLOOKUP(Tabela1[[#This Row],[Número]],SAMC!A:F,6,0)</f>
        <v>Aguardando Aprovação</v>
      </c>
      <c r="E82" s="7">
        <v>188897.58</v>
      </c>
      <c r="F82" s="27">
        <v>0</v>
      </c>
      <c r="G82" s="8">
        <f>Tabela1[[#This Row],[Valor Global]]-Tabela1[[#This Row],[Faturado Acumulado]]</f>
        <v>188897.58</v>
      </c>
      <c r="H82" s="6" t="str">
        <f>VLOOKUP(Tabela1[[#This Row],[Número]],SAMC!A:F,4,0)</f>
        <v>Elaboração de projeto</v>
      </c>
      <c r="I82" s="1" t="str">
        <f>VLOOKUP(Tabela1[[#This Row],[Número]],SAMC!A:F,3,0)</f>
        <v>Mecânica - Betim</v>
      </c>
      <c r="J82" s="28"/>
      <c r="K82" s="28"/>
    </row>
    <row r="83" spans="1:11" s="19" customFormat="1" x14ac:dyDescent="0.35">
      <c r="A83" s="12" t="s">
        <v>996</v>
      </c>
      <c r="B83" s="1" t="s">
        <v>997</v>
      </c>
      <c r="C83" s="6" t="s">
        <v>73</v>
      </c>
      <c r="D83" s="2" t="str">
        <f>VLOOKUP(Tabela1[[#This Row],[Número]],SAMC!A:F,6,0)</f>
        <v>Aguardando Aprovação</v>
      </c>
      <c r="E83" s="7">
        <v>30018.45</v>
      </c>
      <c r="F83" s="27">
        <v>0</v>
      </c>
      <c r="G83" s="8">
        <f>Tabela1[[#This Row],[Valor Global]]-Tabela1[[#This Row],[Faturado Acumulado]]</f>
        <v>30018.45</v>
      </c>
      <c r="H83" s="6" t="str">
        <f>VLOOKUP(Tabela1[[#This Row],[Número]],SAMC!A:F,4,0)</f>
        <v>Elaboração de projeto</v>
      </c>
      <c r="I83" s="1" t="str">
        <f>VLOOKUP(Tabela1[[#This Row],[Número]],SAMC!A:F,3,0)</f>
        <v>Civil (projeto e manutenção civil) - Betim</v>
      </c>
      <c r="J83" s="28"/>
      <c r="K83" s="28"/>
    </row>
    <row r="84" spans="1:11" s="19" customFormat="1" x14ac:dyDescent="0.35">
      <c r="A84" s="12" t="s">
        <v>994</v>
      </c>
      <c r="B84" s="1" t="s">
        <v>995</v>
      </c>
      <c r="C84" s="6" t="s">
        <v>73</v>
      </c>
      <c r="D84" s="2" t="str">
        <f>VLOOKUP(Tabela1[[#This Row],[Número]],SAMC!A:F,6,0)</f>
        <v>Aguardando Aprovação</v>
      </c>
      <c r="E84" s="7">
        <v>46951.5</v>
      </c>
      <c r="F84" s="27">
        <v>0</v>
      </c>
      <c r="G84" s="8">
        <f>Tabela1[[#This Row],[Valor Global]]-Tabela1[[#This Row],[Faturado Acumulado]]</f>
        <v>46951.5</v>
      </c>
      <c r="H84" s="6" t="str">
        <f>VLOOKUP(Tabela1[[#This Row],[Número]],SAMC!A:F,4,0)</f>
        <v>Elaboração de projeto</v>
      </c>
      <c r="I84" s="1" t="str">
        <f>VLOOKUP(Tabela1[[#This Row],[Número]],SAMC!A:F,3,0)</f>
        <v>Elétrica e Instrumentação- Betim</v>
      </c>
      <c r="J84" s="28"/>
      <c r="K84" s="28"/>
    </row>
    <row r="85" spans="1:11" s="19" customFormat="1" x14ac:dyDescent="0.35">
      <c r="A85" s="12" t="s">
        <v>992</v>
      </c>
      <c r="B85" s="1" t="s">
        <v>993</v>
      </c>
      <c r="C85" s="6" t="s">
        <v>73</v>
      </c>
      <c r="D85" s="2" t="str">
        <f>VLOOKUP(Tabela1[[#This Row],[Número]],SAMC!A:F,6,0)</f>
        <v>Aguardando Aprovação</v>
      </c>
      <c r="E85" s="7">
        <v>176225.76</v>
      </c>
      <c r="F85" s="27">
        <v>0</v>
      </c>
      <c r="G85" s="8">
        <f>Tabela1[[#This Row],[Valor Global]]-Tabela1[[#This Row],[Faturado Acumulado]]</f>
        <v>176225.76</v>
      </c>
      <c r="H85" s="6" t="str">
        <f>VLOOKUP(Tabela1[[#This Row],[Número]],SAMC!A:F,4,0)</f>
        <v>Elaboração de projeto</v>
      </c>
      <c r="I85" s="1" t="str">
        <f>VLOOKUP(Tabela1[[#This Row],[Número]],SAMC!A:F,3,0)</f>
        <v>Mecânica - Betim</v>
      </c>
      <c r="J85" s="28"/>
      <c r="K85" s="28"/>
    </row>
    <row r="86" spans="1:11" s="19" customFormat="1" x14ac:dyDescent="0.35">
      <c r="A86" s="29" t="s">
        <v>990</v>
      </c>
      <c r="B86" s="1" t="s">
        <v>991</v>
      </c>
      <c r="C86" s="6" t="s">
        <v>73</v>
      </c>
      <c r="D86" s="2" t="str">
        <f>VLOOKUP(Tabela1[[#This Row],[Número]],SAMC!A:F,6,0)</f>
        <v>Aguardando classif contabil</v>
      </c>
      <c r="E86" s="7">
        <v>49222.8</v>
      </c>
      <c r="F86" s="27">
        <v>0</v>
      </c>
      <c r="G86" s="8">
        <f>Tabela1[[#This Row],[Valor Global]]-Tabela1[[#This Row],[Faturado Acumulado]]</f>
        <v>49222.8</v>
      </c>
      <c r="H86" s="2" t="str">
        <f>VLOOKUP(Tabela1[[#This Row],[Número]],SAMC!A:F,4,0)</f>
        <v>Elaboração de projeto</v>
      </c>
      <c r="I86" s="1" t="str">
        <f>VLOOKUP(Tabela1[[#This Row],[Número]],SAMC!A:F,3,0)</f>
        <v>Civil (projeto e manutenção civil) - Betim</v>
      </c>
      <c r="J86" s="28"/>
      <c r="K86" s="28"/>
    </row>
    <row r="87" spans="1:11" s="19" customFormat="1" x14ac:dyDescent="0.35">
      <c r="A87" s="12" t="s">
        <v>988</v>
      </c>
      <c r="B87" s="1" t="s">
        <v>989</v>
      </c>
      <c r="C87" s="6" t="s">
        <v>73</v>
      </c>
      <c r="D87" s="2" t="str">
        <f>VLOOKUP(Tabela1[[#This Row],[Número]],SAMC!A:F,6,0)</f>
        <v>Aguardando classif contabil</v>
      </c>
      <c r="E87" s="7">
        <v>28340.400000000001</v>
      </c>
      <c r="F87" s="27">
        <v>0</v>
      </c>
      <c r="G87" s="8">
        <f>Tabela1[[#This Row],[Valor Global]]-Tabela1[[#This Row],[Faturado Acumulado]]</f>
        <v>28340.400000000001</v>
      </c>
      <c r="H87" s="6" t="str">
        <f>VLOOKUP(Tabela1[[#This Row],[Número]],SAMC!A:F,4,0)</f>
        <v>Elaboração de projeto</v>
      </c>
      <c r="I87" s="1" t="str">
        <f>VLOOKUP(Tabela1[[#This Row],[Número]],SAMC!A:F,3,0)</f>
        <v>Elétrica e Instrumentação- Betim</v>
      </c>
      <c r="J87" s="28"/>
      <c r="K87" s="28"/>
    </row>
    <row r="88" spans="1:11" s="19" customFormat="1" x14ac:dyDescent="0.35">
      <c r="A88" s="12" t="s">
        <v>986</v>
      </c>
      <c r="B88" s="1" t="s">
        <v>987</v>
      </c>
      <c r="C88" s="6" t="s">
        <v>73</v>
      </c>
      <c r="D88" s="2" t="str">
        <f>VLOOKUP(Tabela1[[#This Row],[Número]],SAMC!A:F,6,0)</f>
        <v>Aguardando classif contabil</v>
      </c>
      <c r="E88" s="7">
        <v>102005.1</v>
      </c>
      <c r="F88" s="27">
        <v>0</v>
      </c>
      <c r="G88" s="8">
        <f>Tabela1[[#This Row],[Valor Global]]-Tabela1[[#This Row],[Faturado Acumulado]]</f>
        <v>102005.1</v>
      </c>
      <c r="H88" s="6" t="str">
        <f>VLOOKUP(Tabela1[[#This Row],[Número]],SAMC!A:F,4,0)</f>
        <v>Elaboração de projeto</v>
      </c>
      <c r="I88" s="1" t="str">
        <f>VLOOKUP(Tabela1[[#This Row],[Número]],SAMC!A:F,3,0)</f>
        <v>Mecânica - Betim</v>
      </c>
      <c r="J88" s="28"/>
      <c r="K88" s="28"/>
    </row>
    <row r="89" spans="1:11" s="19" customFormat="1" x14ac:dyDescent="0.35">
      <c r="A89" s="12" t="s">
        <v>984</v>
      </c>
      <c r="B89" s="1" t="s">
        <v>985</v>
      </c>
      <c r="C89" s="6" t="s">
        <v>73</v>
      </c>
      <c r="D89" s="2" t="str">
        <f>VLOOKUP(Tabela1[[#This Row],[Número]],SAMC!A:F,6,0)</f>
        <v>Aguardando classif contabil</v>
      </c>
      <c r="E89" s="7">
        <v>32815.199999999997</v>
      </c>
      <c r="F89" s="27">
        <v>0</v>
      </c>
      <c r="G89" s="8">
        <f>Tabela1[[#This Row],[Valor Global]]-Tabela1[[#This Row],[Faturado Acumulado]]</f>
        <v>32815.199999999997</v>
      </c>
      <c r="H89" s="6" t="str">
        <f>VLOOKUP(Tabela1[[#This Row],[Número]],SAMC!A:F,4,0)</f>
        <v>Elaboração de projeto</v>
      </c>
      <c r="I89" s="1" t="str">
        <f>VLOOKUP(Tabela1[[#This Row],[Número]],SAMC!A:F,3,0)</f>
        <v>Civil (projeto e manutenção civil) - Betim</v>
      </c>
      <c r="J89" s="28"/>
      <c r="K89" s="28"/>
    </row>
    <row r="90" spans="1:11" s="19" customFormat="1" x14ac:dyDescent="0.35">
      <c r="A90" s="12" t="s">
        <v>982</v>
      </c>
      <c r="B90" s="1" t="s">
        <v>983</v>
      </c>
      <c r="C90" s="6" t="s">
        <v>73</v>
      </c>
      <c r="D90" s="2" t="str">
        <f>VLOOKUP(Tabela1[[#This Row],[Número]],SAMC!A:F,6,0)</f>
        <v>Aguardando classif contabil</v>
      </c>
      <c r="E90" s="7">
        <v>18924.68</v>
      </c>
      <c r="F90" s="27">
        <v>0</v>
      </c>
      <c r="G90" s="8">
        <f>Tabela1[[#This Row],[Valor Global]]-Tabela1[[#This Row],[Faturado Acumulado]]</f>
        <v>18924.68</v>
      </c>
      <c r="H90" s="6" t="str">
        <f>VLOOKUP(Tabela1[[#This Row],[Número]],SAMC!A:F,4,0)</f>
        <v>Elaboração de projeto</v>
      </c>
      <c r="I90" s="1" t="str">
        <f>VLOOKUP(Tabela1[[#This Row],[Número]],SAMC!A:F,3,0)</f>
        <v>Elétrica e Instrumentação- Betim</v>
      </c>
      <c r="J90" s="28"/>
      <c r="K90" s="28"/>
    </row>
    <row r="91" spans="1:11" s="19" customFormat="1" x14ac:dyDescent="0.35">
      <c r="A91" s="12" t="s">
        <v>980</v>
      </c>
      <c r="B91" s="1" t="s">
        <v>981</v>
      </c>
      <c r="C91" s="6" t="s">
        <v>73</v>
      </c>
      <c r="D91" s="2" t="str">
        <f>VLOOKUP(Tabela1[[#This Row],[Número]],SAMC!A:F,6,0)</f>
        <v>Aguardando classif contabil</v>
      </c>
      <c r="E91" s="7">
        <v>133654.14000000001</v>
      </c>
      <c r="F91" s="27">
        <v>0</v>
      </c>
      <c r="G91" s="8">
        <f>Tabela1[[#This Row],[Valor Global]]-Tabela1[[#This Row],[Faturado Acumulado]]</f>
        <v>133654.14000000001</v>
      </c>
      <c r="H91" s="6" t="str">
        <f>VLOOKUP(Tabela1[[#This Row],[Número]],SAMC!A:F,4,0)</f>
        <v>Elaboração de projeto</v>
      </c>
      <c r="I91" s="1" t="str">
        <f>VLOOKUP(Tabela1[[#This Row],[Número]],SAMC!A:F,3,0)</f>
        <v>Mecânica - Betim</v>
      </c>
      <c r="J91" s="28"/>
      <c r="K91" s="28"/>
    </row>
    <row r="92" spans="1:11" s="19" customFormat="1" x14ac:dyDescent="0.35">
      <c r="A92" s="12" t="s">
        <v>978</v>
      </c>
      <c r="B92" s="1" t="s">
        <v>979</v>
      </c>
      <c r="C92" s="6" t="s">
        <v>73</v>
      </c>
      <c r="D92" s="2" t="str">
        <f>VLOOKUP(Tabela1[[#This Row],[Número]],SAMC!A:F,6,0)</f>
        <v>Aguardando classif contabil</v>
      </c>
      <c r="E92" s="7">
        <v>32815.199999999997</v>
      </c>
      <c r="F92" s="27">
        <v>0</v>
      </c>
      <c r="G92" s="8">
        <f>Tabela1[[#This Row],[Valor Global]]-Tabela1[[#This Row],[Faturado Acumulado]]</f>
        <v>32815.199999999997</v>
      </c>
      <c r="H92" s="2" t="str">
        <f>VLOOKUP(Tabela1[[#This Row],[Número]],SAMC!A:F,4,0)</f>
        <v>Elaboração de projeto</v>
      </c>
      <c r="I92" s="1" t="str">
        <f>VLOOKUP(Tabela1[[#This Row],[Número]],SAMC!A:F,3,0)</f>
        <v>Civil (projeto e manutenção civil) - Betim</v>
      </c>
      <c r="J92" s="28"/>
      <c r="K92" s="28"/>
    </row>
    <row r="93" spans="1:11" s="19" customFormat="1" x14ac:dyDescent="0.35">
      <c r="A93" s="12" t="s">
        <v>976</v>
      </c>
      <c r="B93" s="1" t="s">
        <v>977</v>
      </c>
      <c r="C93" s="6" t="s">
        <v>73</v>
      </c>
      <c r="D93" s="2" t="str">
        <f>VLOOKUP(Tabela1[[#This Row],[Número]],SAMC!A:F,6,0)</f>
        <v>Aguardando classif contabil</v>
      </c>
      <c r="E93" s="7">
        <v>18924.68</v>
      </c>
      <c r="F93" s="27">
        <v>0</v>
      </c>
      <c r="G93" s="8">
        <f>Tabela1[[#This Row],[Valor Global]]-Tabela1[[#This Row],[Faturado Acumulado]]</f>
        <v>18924.68</v>
      </c>
      <c r="H93" s="2" t="str">
        <f>VLOOKUP(Tabela1[[#This Row],[Número]],SAMC!A:F,4,0)</f>
        <v>Elaboração de projeto</v>
      </c>
      <c r="I93" s="1" t="str">
        <f>VLOOKUP(Tabela1[[#This Row],[Número]],SAMC!A:F,3,0)</f>
        <v>Elétrica e Instrumentação- Betim</v>
      </c>
      <c r="J93" s="28"/>
      <c r="K93" s="28"/>
    </row>
    <row r="94" spans="1:11" s="19" customFormat="1" x14ac:dyDescent="0.35">
      <c r="A94" s="12" t="s">
        <v>670</v>
      </c>
      <c r="B94" s="1" t="s">
        <v>671</v>
      </c>
      <c r="C94" s="6" t="s">
        <v>73</v>
      </c>
      <c r="D94" s="2" t="str">
        <f>VLOOKUP(Tabela1[[#This Row],[Número]],SAMC!A:F,6,0)</f>
        <v>Em Andamento</v>
      </c>
      <c r="E94" s="7">
        <v>354277.69</v>
      </c>
      <c r="F94" s="27">
        <v>0</v>
      </c>
      <c r="G94" s="8">
        <f>Tabela1[[#This Row],[Valor Global]]-Tabela1[[#This Row],[Faturado Acumulado]]</f>
        <v>354277.69</v>
      </c>
      <c r="H94" s="6" t="str">
        <f>VLOOKUP(Tabela1[[#This Row],[Número]],SAMC!A:F,4,0)</f>
        <v>Civil</v>
      </c>
      <c r="I94" s="1" t="str">
        <f>VLOOKUP(Tabela1[[#This Row],[Número]],SAMC!A:F,3,0)</f>
        <v>Civil (projeto e manutenção civil) - Betim</v>
      </c>
      <c r="J94" s="28"/>
      <c r="K94" s="28"/>
    </row>
    <row r="95" spans="1:11" s="19" customFormat="1" x14ac:dyDescent="0.35">
      <c r="A95" s="12" t="s">
        <v>674</v>
      </c>
      <c r="B95" s="1" t="s">
        <v>675</v>
      </c>
      <c r="C95" s="6" t="s">
        <v>72</v>
      </c>
      <c r="D95" s="2" t="str">
        <f>VLOOKUP(Tabela1[[#This Row],[Número]],SAMC!A:F,6,0)</f>
        <v>Em Andamento</v>
      </c>
      <c r="E95" s="7">
        <v>8949.5400000000009</v>
      </c>
      <c r="F95" s="27">
        <v>0</v>
      </c>
      <c r="G95" s="8">
        <f>Tabela1[[#This Row],[Valor Global]]-Tabela1[[#This Row],[Faturado Acumulado]]</f>
        <v>8949.5400000000009</v>
      </c>
      <c r="H95" s="6" t="str">
        <f>VLOOKUP(Tabela1[[#This Row],[Número]],SAMC!A:F,4,0)</f>
        <v>Civil</v>
      </c>
      <c r="I95" s="1" t="str">
        <f>VLOOKUP(Tabela1[[#This Row],[Número]],SAMC!A:F,3,0)</f>
        <v>Civil (projeto e manutenção civil) - Betim</v>
      </c>
      <c r="J95" s="28"/>
      <c r="K95" s="28"/>
    </row>
    <row r="96" spans="1:11" s="19" customFormat="1" x14ac:dyDescent="0.35">
      <c r="A96" s="12" t="s">
        <v>676</v>
      </c>
      <c r="B96" s="1" t="s">
        <v>677</v>
      </c>
      <c r="C96" s="6" t="s">
        <v>72</v>
      </c>
      <c r="D96" s="2" t="str">
        <f>VLOOKUP(Tabela1[[#This Row],[Número]],SAMC!A:F,6,0)</f>
        <v>Em Andamento</v>
      </c>
      <c r="E96" s="7">
        <v>282315.73152531812</v>
      </c>
      <c r="F96" s="27">
        <v>0</v>
      </c>
      <c r="G96" s="8">
        <f>Tabela1[[#This Row],[Valor Global]]-Tabela1[[#This Row],[Faturado Acumulado]]</f>
        <v>282315.73152531812</v>
      </c>
      <c r="H96" s="6" t="str">
        <f>VLOOKUP(Tabela1[[#This Row],[Número]],SAMC!A:F,4,0)</f>
        <v>Civil</v>
      </c>
      <c r="I96" s="1" t="str">
        <f>VLOOKUP(Tabela1[[#This Row],[Número]],SAMC!A:F,3,0)</f>
        <v>Civil (projeto e manutenção civil) - Betim</v>
      </c>
      <c r="J96" s="28"/>
      <c r="K96" s="28"/>
    </row>
    <row r="97" spans="1:11" s="19" customFormat="1" x14ac:dyDescent="0.35">
      <c r="A97" s="12" t="s">
        <v>678</v>
      </c>
      <c r="B97" s="1" t="s">
        <v>679</v>
      </c>
      <c r="C97" s="6" t="s">
        <v>72</v>
      </c>
      <c r="D97" s="2" t="str">
        <f>VLOOKUP(Tabela1[[#This Row],[Número]],SAMC!A:F,6,0)</f>
        <v>Aguardando classif contabil</v>
      </c>
      <c r="E97" s="7">
        <v>777.83798051449435</v>
      </c>
      <c r="F97" s="27">
        <v>0</v>
      </c>
      <c r="G97" s="8">
        <f>Tabela1[[#This Row],[Valor Global]]-Tabela1[[#This Row],[Faturado Acumulado]]</f>
        <v>777.83798051449435</v>
      </c>
      <c r="H97" s="2" t="str">
        <f>VLOOKUP(Tabela1[[#This Row],[Número]],SAMC!A:F,4,0)</f>
        <v>Revenda Materiais</v>
      </c>
      <c r="I97" s="1" t="str">
        <f>VLOOKUP(Tabela1[[#This Row],[Número]],SAMC!A:F,3,0)</f>
        <v>Receber Materiais - Regap-Betim</v>
      </c>
      <c r="J97" s="28"/>
      <c r="K97" s="28"/>
    </row>
    <row r="98" spans="1:11" s="19" customFormat="1" x14ac:dyDescent="0.35">
      <c r="A98" s="12" t="s">
        <v>680</v>
      </c>
      <c r="B98" s="1" t="s">
        <v>681</v>
      </c>
      <c r="C98" s="6" t="s">
        <v>72</v>
      </c>
      <c r="D98" s="2" t="str">
        <f>VLOOKUP(Tabela1[[#This Row],[Número]],SAMC!A:F,6,0)</f>
        <v>Encaminhado p/ o fornecedor</v>
      </c>
      <c r="E98" s="7">
        <v>61003.156699242776</v>
      </c>
      <c r="F98" s="27">
        <v>0</v>
      </c>
      <c r="G98" s="8">
        <f>Tabela1[[#This Row],[Valor Global]]-Tabela1[[#This Row],[Faturado Acumulado]]</f>
        <v>61003.156699242776</v>
      </c>
      <c r="H98" s="6" t="str">
        <f>VLOOKUP(Tabela1[[#This Row],[Número]],SAMC!A:F,4,0)</f>
        <v>Mecânica e Caldeiraria</v>
      </c>
      <c r="I98" s="1" t="str">
        <f>VLOOKUP(Tabela1[[#This Row],[Número]],SAMC!A:F,3,0)</f>
        <v>Mecânica - Betim</v>
      </c>
      <c r="J98" s="28"/>
      <c r="K98" s="28"/>
    </row>
    <row r="99" spans="1:11" s="19" customFormat="1" x14ac:dyDescent="0.35">
      <c r="A99" s="12" t="s">
        <v>682</v>
      </c>
      <c r="B99" s="1" t="s">
        <v>683</v>
      </c>
      <c r="C99" s="6" t="s">
        <v>72</v>
      </c>
      <c r="D99" s="2" t="str">
        <f>VLOOKUP(Tabela1[[#This Row],[Número]],SAMC!A:F,6,0)</f>
        <v>Encaminhado p/ o fornecedor</v>
      </c>
      <c r="E99" s="7">
        <v>157888.58776620051</v>
      </c>
      <c r="F99" s="27">
        <v>0</v>
      </c>
      <c r="G99" s="8">
        <f>Tabela1[[#This Row],[Valor Global]]-Tabela1[[#This Row],[Faturado Acumulado]]</f>
        <v>157888.58776620051</v>
      </c>
      <c r="H99" s="6" t="str">
        <f>VLOOKUP(Tabela1[[#This Row],[Número]],SAMC!A:F,4,0)</f>
        <v>Mecânica e Caldeiraria</v>
      </c>
      <c r="I99" s="1" t="str">
        <f>VLOOKUP(Tabela1[[#This Row],[Número]],SAMC!A:F,3,0)</f>
        <v>Mecânica - Betim</v>
      </c>
      <c r="J99" s="28"/>
      <c r="K99" s="28"/>
    </row>
    <row r="100" spans="1:11" s="19" customFormat="1" x14ac:dyDescent="0.35">
      <c r="A100" s="12" t="s">
        <v>684</v>
      </c>
      <c r="B100" s="1" t="s">
        <v>685</v>
      </c>
      <c r="C100" s="6" t="s">
        <v>72</v>
      </c>
      <c r="D100" s="2" t="str">
        <f>VLOOKUP(Tabela1[[#This Row],[Número]],SAMC!A:F,6,0)</f>
        <v>Encaminhado p/ o fornecedor</v>
      </c>
      <c r="E100" s="7">
        <v>206003.55676191364</v>
      </c>
      <c r="F100" s="27">
        <v>0</v>
      </c>
      <c r="G100" s="8">
        <f>Tabela1[[#This Row],[Valor Global]]-Tabela1[[#This Row],[Faturado Acumulado]]</f>
        <v>206003.55676191364</v>
      </c>
      <c r="H100" s="6" t="str">
        <f>VLOOKUP(Tabela1[[#This Row],[Número]],SAMC!A:F,4,0)</f>
        <v>Mecânica e Caldeiraria</v>
      </c>
      <c r="I100" s="1" t="str">
        <f>VLOOKUP(Tabela1[[#This Row],[Número]],SAMC!A:F,3,0)</f>
        <v>Mecânica - Betim</v>
      </c>
      <c r="J100" s="28"/>
      <c r="K100" s="28"/>
    </row>
    <row r="101" spans="1:11" s="19" customFormat="1" x14ac:dyDescent="0.35">
      <c r="A101" s="12" t="s">
        <v>686</v>
      </c>
      <c r="B101" s="1" t="s">
        <v>687</v>
      </c>
      <c r="C101" s="6" t="s">
        <v>72</v>
      </c>
      <c r="D101" s="2" t="str">
        <f>VLOOKUP(Tabela1[[#This Row],[Número]],SAMC!A:F,6,0)</f>
        <v>Encaminhado p/ o fornecedor</v>
      </c>
      <c r="E101" s="7">
        <v>688299.56574843789</v>
      </c>
      <c r="F101" s="27">
        <v>0</v>
      </c>
      <c r="G101" s="8">
        <f>Tabela1[[#This Row],[Valor Global]]-Tabela1[[#This Row],[Faturado Acumulado]]</f>
        <v>688299.56574843789</v>
      </c>
      <c r="H101" s="6" t="str">
        <f>VLOOKUP(Tabela1[[#This Row],[Número]],SAMC!A:F,4,0)</f>
        <v>Mecânica e Caldeiraria</v>
      </c>
      <c r="I101" s="1" t="str">
        <f>VLOOKUP(Tabela1[[#This Row],[Número]],SAMC!A:F,3,0)</f>
        <v>Mecânica - Betim</v>
      </c>
      <c r="J101" s="28"/>
      <c r="K101" s="28"/>
    </row>
    <row r="102" spans="1:11" s="19" customFormat="1" x14ac:dyDescent="0.35">
      <c r="A102" s="12" t="s">
        <v>688</v>
      </c>
      <c r="B102" s="1" t="s">
        <v>972</v>
      </c>
      <c r="C102" s="6" t="s">
        <v>72</v>
      </c>
      <c r="D102" s="2" t="str">
        <f>VLOOKUP(Tabela1[[#This Row],[Número]],SAMC!A:F,6,0)</f>
        <v>Encaminhado p/ o fornecedor</v>
      </c>
      <c r="E102" s="7">
        <v>45722.493929582779</v>
      </c>
      <c r="F102" s="27">
        <v>0</v>
      </c>
      <c r="G102" s="8">
        <f>Tabela1[[#This Row],[Valor Global]]-Tabela1[[#This Row],[Faturado Acumulado]]</f>
        <v>45722.493929582779</v>
      </c>
      <c r="H102" s="2" t="str">
        <f>VLOOKUP(Tabela1[[#This Row],[Número]],SAMC!A:F,4,0)</f>
        <v>Civil</v>
      </c>
      <c r="I102" s="1" t="str">
        <f>VLOOKUP(Tabela1[[#This Row],[Número]],SAMC!A:F,3,0)</f>
        <v>Civil (projeto e manutenção civil) - Betim</v>
      </c>
      <c r="J102" s="28"/>
      <c r="K102" s="28"/>
    </row>
    <row r="103" spans="1:11" s="19" customFormat="1" x14ac:dyDescent="0.35">
      <c r="A103" s="12" t="s">
        <v>690</v>
      </c>
      <c r="B103" s="1" t="s">
        <v>691</v>
      </c>
      <c r="C103" s="6" t="s">
        <v>72</v>
      </c>
      <c r="D103" s="2" t="str">
        <f>VLOOKUP(Tabela1[[#This Row],[Número]],SAMC!A:F,6,0)</f>
        <v>Encaminhado p/ o fornecedor</v>
      </c>
      <c r="E103" s="7">
        <v>409585.81493867503</v>
      </c>
      <c r="F103" s="27">
        <v>0</v>
      </c>
      <c r="G103" s="8">
        <f>Tabela1[[#This Row],[Valor Global]]-Tabela1[[#This Row],[Faturado Acumulado]]</f>
        <v>409585.81493867503</v>
      </c>
      <c r="H103" s="6" t="str">
        <f>VLOOKUP(Tabela1[[#This Row],[Número]],SAMC!A:F,4,0)</f>
        <v>Civil</v>
      </c>
      <c r="I103" s="1" t="str">
        <f>VLOOKUP(Tabela1[[#This Row],[Número]],SAMC!A:F,3,0)</f>
        <v>Civil (projeto e manutenção civil) - Betim</v>
      </c>
      <c r="J103" s="28"/>
      <c r="K103" s="28"/>
    </row>
    <row r="104" spans="1:11" s="19" customFormat="1" x14ac:dyDescent="0.35">
      <c r="A104" s="12" t="s">
        <v>692</v>
      </c>
      <c r="B104" s="1" t="s">
        <v>693</v>
      </c>
      <c r="C104" s="6" t="s">
        <v>72</v>
      </c>
      <c r="D104" s="2" t="str">
        <f>VLOOKUP(Tabela1[[#This Row],[Número]],SAMC!A:F,6,0)</f>
        <v>Encaminhado p/ o fornecedor</v>
      </c>
      <c r="E104" s="7">
        <v>176597.0049896577</v>
      </c>
      <c r="F104" s="27">
        <v>0</v>
      </c>
      <c r="G104" s="8">
        <f>Tabela1[[#This Row],[Valor Global]]-Tabela1[[#This Row],[Faturado Acumulado]]</f>
        <v>176597.0049896577</v>
      </c>
      <c r="H104" s="2" t="str">
        <f>VLOOKUP(Tabela1[[#This Row],[Número]],SAMC!A:F,4,0)</f>
        <v>Civil</v>
      </c>
      <c r="I104" s="1" t="str">
        <f>VLOOKUP(Tabela1[[#This Row],[Número]],SAMC!A:F,3,0)</f>
        <v>Civil (projeto e manutenção civil) - Betim</v>
      </c>
      <c r="J104" s="28"/>
      <c r="K104" s="28"/>
    </row>
    <row r="105" spans="1:11" s="19" customFormat="1" x14ac:dyDescent="0.35">
      <c r="A105" s="12" t="s">
        <v>694</v>
      </c>
      <c r="B105" s="1" t="s">
        <v>695</v>
      </c>
      <c r="C105" s="6" t="s">
        <v>72</v>
      </c>
      <c r="D105" s="2" t="str">
        <f>VLOOKUP(Tabela1[[#This Row],[Número]],SAMC!A:F,6,0)</f>
        <v>Encaminhado p/ o fornecedor</v>
      </c>
      <c r="E105" s="7">
        <v>387798.14247998584</v>
      </c>
      <c r="F105" s="27">
        <v>0</v>
      </c>
      <c r="G105" s="8">
        <f>Tabela1[[#This Row],[Valor Global]]-Tabela1[[#This Row],[Faturado Acumulado]]</f>
        <v>387798.14247998584</v>
      </c>
      <c r="H105" s="2" t="str">
        <f>VLOOKUP(Tabela1[[#This Row],[Número]],SAMC!A:F,4,0)</f>
        <v>Mecânica e Caldeiraria</v>
      </c>
      <c r="I105" s="1" t="str">
        <f>VLOOKUP(Tabela1[[#This Row],[Número]],SAMC!A:F,3,0)</f>
        <v>Mecânica - Betim</v>
      </c>
      <c r="J105" s="28"/>
      <c r="K105" s="28"/>
    </row>
    <row r="106" spans="1:11" s="19" customFormat="1" x14ac:dyDescent="0.35">
      <c r="A106" s="12" t="s">
        <v>696</v>
      </c>
      <c r="B106" s="1" t="s">
        <v>971</v>
      </c>
      <c r="C106" s="6" t="s">
        <v>72</v>
      </c>
      <c r="D106" s="2" t="str">
        <f>VLOOKUP(Tabela1[[#This Row],[Número]],SAMC!A:F,6,0)</f>
        <v>Encaminhado p/ o fornecedor</v>
      </c>
      <c r="E106" s="7">
        <v>100855.09335898279</v>
      </c>
      <c r="F106" s="27">
        <v>0</v>
      </c>
      <c r="G106" s="8">
        <f>Tabela1[[#This Row],[Valor Global]]-Tabela1[[#This Row],[Faturado Acumulado]]</f>
        <v>100855.09335898279</v>
      </c>
      <c r="H106" s="6" t="str">
        <f>VLOOKUP(Tabela1[[#This Row],[Número]],SAMC!A:F,4,0)</f>
        <v>Mecânica e Caldeiraria</v>
      </c>
      <c r="I106" s="1" t="str">
        <f>VLOOKUP(Tabela1[[#This Row],[Número]],SAMC!A:F,3,0)</f>
        <v>Mecânica - Betim</v>
      </c>
      <c r="J106" s="28"/>
      <c r="K106" s="28"/>
    </row>
    <row r="107" spans="1:11" s="19" customFormat="1" x14ac:dyDescent="0.35">
      <c r="A107" s="12" t="s">
        <v>697</v>
      </c>
      <c r="B107" s="1" t="s">
        <v>698</v>
      </c>
      <c r="C107" s="6" t="s">
        <v>72</v>
      </c>
      <c r="D107" s="2" t="str">
        <f>VLOOKUP(Tabela1[[#This Row],[Número]],SAMC!A:F,6,0)</f>
        <v>Encaminhado p/ o fornecedor</v>
      </c>
      <c r="E107" s="7">
        <v>3597.6294620247245</v>
      </c>
      <c r="F107" s="27">
        <v>0</v>
      </c>
      <c r="G107" s="8">
        <f>Tabela1[[#This Row],[Valor Global]]-Tabela1[[#This Row],[Faturado Acumulado]]</f>
        <v>3597.6294620247245</v>
      </c>
      <c r="H107" s="6" t="str">
        <f>VLOOKUP(Tabela1[[#This Row],[Número]],SAMC!A:F,4,0)</f>
        <v>Revenda Materiais</v>
      </c>
      <c r="I107" s="1" t="str">
        <f>VLOOKUP(Tabela1[[#This Row],[Número]],SAMC!A:F,3,0)</f>
        <v>Receber Materiais - Regap-Betim</v>
      </c>
      <c r="J107" s="28"/>
      <c r="K107" s="28"/>
    </row>
    <row r="108" spans="1:11" s="19" customFormat="1" x14ac:dyDescent="0.35">
      <c r="A108" s="12" t="s">
        <v>944</v>
      </c>
      <c r="B108" s="1" t="s">
        <v>945</v>
      </c>
      <c r="C108" s="6" t="s">
        <v>73</v>
      </c>
      <c r="D108" s="2" t="str">
        <f>VLOOKUP(Tabela1[[#This Row],[Número]],SAMC!A:F,6,0)</f>
        <v>Encaminhado p/ o fornecedor</v>
      </c>
      <c r="E108" s="7">
        <v>529.41</v>
      </c>
      <c r="F108" s="27">
        <v>0</v>
      </c>
      <c r="G108" s="8">
        <f>Tabela1[[#This Row],[Valor Global]]-Tabela1[[#This Row],[Faturado Acumulado]]</f>
        <v>529.41</v>
      </c>
      <c r="H108" s="6" t="str">
        <f>VLOOKUP(Tabela1[[#This Row],[Número]],SAMC!A:F,4,0)</f>
        <v>Civil</v>
      </c>
      <c r="I108" s="1" t="str">
        <f>VLOOKUP(Tabela1[[#This Row],[Número]],SAMC!A:F,3,0)</f>
        <v>Civil (projeto e manutenção civil) - Betim</v>
      </c>
      <c r="J108" s="28"/>
      <c r="K108" s="28"/>
    </row>
    <row r="109" spans="1:11" s="19" customFormat="1" x14ac:dyDescent="0.35">
      <c r="A109" s="12" t="s">
        <v>940</v>
      </c>
      <c r="B109" s="1" t="s">
        <v>941</v>
      </c>
      <c r="C109" s="6" t="s">
        <v>72</v>
      </c>
      <c r="D109" s="2" t="str">
        <f>VLOOKUP(Tabela1[[#This Row],[Número]],SAMC!A:F,6,0)</f>
        <v>Aguardando classif contabil</v>
      </c>
      <c r="E109" s="7">
        <v>2616093.2200000002</v>
      </c>
      <c r="F109" s="27">
        <v>0</v>
      </c>
      <c r="G109" s="8">
        <f>Tabela1[[#This Row],[Valor Global]]-Tabela1[[#This Row],[Faturado Acumulado]]</f>
        <v>2616093.2200000002</v>
      </c>
      <c r="H109" s="6" t="str">
        <f>VLOOKUP(Tabela1[[#This Row],[Número]],SAMC!A:F,4,0)</f>
        <v>Civil</v>
      </c>
      <c r="I109" s="1" t="str">
        <f>VLOOKUP(Tabela1[[#This Row],[Número]],SAMC!A:F,3,0)</f>
        <v>Civil (projeto e manutenção civil) - Betim</v>
      </c>
      <c r="J109" s="28"/>
      <c r="K109" s="28"/>
    </row>
    <row r="110" spans="1:11" s="19" customFormat="1" x14ac:dyDescent="0.35">
      <c r="A110" s="12" t="s">
        <v>938</v>
      </c>
      <c r="B110" s="1" t="s">
        <v>939</v>
      </c>
      <c r="C110" s="6" t="s">
        <v>72</v>
      </c>
      <c r="D110" s="2" t="str">
        <f>VLOOKUP(Tabela1[[#This Row],[Número]],SAMC!A:F,6,0)</f>
        <v>Aguardando classif contabil</v>
      </c>
      <c r="E110" s="7">
        <v>124846.84</v>
      </c>
      <c r="F110" s="27">
        <v>0</v>
      </c>
      <c r="G110" s="8">
        <f>Tabela1[[#This Row],[Valor Global]]-Tabela1[[#This Row],[Faturado Acumulado]]</f>
        <v>124846.84</v>
      </c>
      <c r="H110" s="6" t="str">
        <f>VLOOKUP(Tabela1[[#This Row],[Número]],SAMC!A:F,4,0)</f>
        <v>Revenda Materiais</v>
      </c>
      <c r="I110" s="1" t="str">
        <f>VLOOKUP(Tabela1[[#This Row],[Número]],SAMC!A:F,3,0)</f>
        <v>Receber Materiais - Regap-Betim</v>
      </c>
      <c r="J110" s="28"/>
      <c r="K110" s="28"/>
    </row>
    <row r="111" spans="1:11" s="19" customFormat="1" x14ac:dyDescent="0.35">
      <c r="A111" s="12" t="s">
        <v>936</v>
      </c>
      <c r="B111" s="1" t="s">
        <v>937</v>
      </c>
      <c r="C111" s="6" t="s">
        <v>73</v>
      </c>
      <c r="D111" s="2" t="str">
        <f>VLOOKUP(Tabela1[[#This Row],[Número]],SAMC!A:F,6,0)</f>
        <v>Aguardando Aprovação</v>
      </c>
      <c r="E111" s="7">
        <v>187347.82577283154</v>
      </c>
      <c r="F111" s="27">
        <v>0</v>
      </c>
      <c r="G111" s="8">
        <f>Tabela1[[#This Row],[Valor Global]]-Tabela1[[#This Row],[Faturado Acumulado]]</f>
        <v>187347.82577283154</v>
      </c>
      <c r="H111" s="6" t="str">
        <f>VLOOKUP(Tabela1[[#This Row],[Número]],SAMC!A:F,4,0)</f>
        <v>Elétrica e Instrumentação</v>
      </c>
      <c r="I111" s="1" t="str">
        <f>VLOOKUP(Tabela1[[#This Row],[Número]],SAMC!A:F,3,0)</f>
        <v>Elétrica e Instrumentação- Betim</v>
      </c>
      <c r="J111" s="28"/>
      <c r="K111" s="28"/>
    </row>
    <row r="112" spans="1:11" s="19" customFormat="1" x14ac:dyDescent="0.35">
      <c r="A112" s="12" t="s">
        <v>934</v>
      </c>
      <c r="B112" s="1" t="s">
        <v>935</v>
      </c>
      <c r="C112" s="6" t="s">
        <v>73</v>
      </c>
      <c r="D112" s="2" t="str">
        <f>VLOOKUP(Tabela1[[#This Row],[Número]],SAMC!A:F,6,0)</f>
        <v>Aguardando classif contabil</v>
      </c>
      <c r="E112" s="7">
        <v>37198.518025239253</v>
      </c>
      <c r="F112" s="27">
        <v>0</v>
      </c>
      <c r="G112" s="8">
        <f>Tabela1[[#This Row],[Valor Global]]-Tabela1[[#This Row],[Faturado Acumulado]]</f>
        <v>37198.518025239253</v>
      </c>
      <c r="H112" s="6" t="str">
        <f>VLOOKUP(Tabela1[[#This Row],[Número]],SAMC!A:F,4,0)</f>
        <v>Civil</v>
      </c>
      <c r="I112" s="1" t="str">
        <f>VLOOKUP(Tabela1[[#This Row],[Número]],SAMC!A:F,3,0)</f>
        <v>Civil (projeto e manutenção civil) - Betim</v>
      </c>
      <c r="J112" s="28"/>
      <c r="K112" s="28"/>
    </row>
    <row r="113" spans="1:11" s="19" customFormat="1" x14ac:dyDescent="0.35">
      <c r="A113" s="12" t="s">
        <v>932</v>
      </c>
      <c r="B113" s="1" t="s">
        <v>933</v>
      </c>
      <c r="C113" s="6" t="s">
        <v>73</v>
      </c>
      <c r="D113" s="2" t="str">
        <f>VLOOKUP(Tabela1[[#This Row],[Número]],SAMC!A:F,6,0)</f>
        <v>Aguardando Planejamento</v>
      </c>
      <c r="E113" s="7">
        <v>0</v>
      </c>
      <c r="F113" s="27">
        <v>0</v>
      </c>
      <c r="G113" s="8">
        <f>Tabela1[[#This Row],[Valor Global]]-Tabela1[[#This Row],[Faturado Acumulado]]</f>
        <v>0</v>
      </c>
      <c r="H113" s="6" t="str">
        <f>VLOOKUP(Tabela1[[#This Row],[Número]],SAMC!A:F,4,0)</f>
        <v>Civil</v>
      </c>
      <c r="I113" s="1" t="str">
        <f>VLOOKUP(Tabela1[[#This Row],[Número]],SAMC!A:F,3,0)</f>
        <v>Civil (projeto e manutenção civil) - Betim</v>
      </c>
      <c r="J113" s="28"/>
      <c r="K113" s="28"/>
    </row>
    <row r="114" spans="1:11" s="19" customFormat="1" x14ac:dyDescent="0.35">
      <c r="A114" s="12" t="s">
        <v>930</v>
      </c>
      <c r="B114" s="1" t="s">
        <v>931</v>
      </c>
      <c r="C114" s="6" t="s">
        <v>73</v>
      </c>
      <c r="D114" s="2" t="str">
        <f>VLOOKUP(Tabela1[[#This Row],[Número]],SAMC!A:F,6,0)</f>
        <v>Aguardando classif contabil</v>
      </c>
      <c r="E114" s="7">
        <v>587327.54243128863</v>
      </c>
      <c r="F114" s="27">
        <v>0</v>
      </c>
      <c r="G114" s="8">
        <f>Tabela1[[#This Row],[Valor Global]]-Tabela1[[#This Row],[Faturado Acumulado]]</f>
        <v>587327.54243128863</v>
      </c>
      <c r="H114" s="6" t="str">
        <f>VLOOKUP(Tabela1[[#This Row],[Número]],SAMC!A:F,4,0)</f>
        <v>Civil</v>
      </c>
      <c r="I114" s="1" t="str">
        <f>VLOOKUP(Tabela1[[#This Row],[Número]],SAMC!A:F,3,0)</f>
        <v>Civil (projeto e manutenção civil) - Betim</v>
      </c>
      <c r="J114" s="28"/>
      <c r="K114" s="28"/>
    </row>
    <row r="115" spans="1:11" s="19" customFormat="1" x14ac:dyDescent="0.35">
      <c r="A115" s="29" t="s">
        <v>928</v>
      </c>
      <c r="B115" s="1" t="s">
        <v>929</v>
      </c>
      <c r="C115" s="6" t="s">
        <v>72</v>
      </c>
      <c r="D115" s="2" t="str">
        <f>VLOOKUP(Tabela1[[#This Row],[Número]],SAMC!A:F,6,0)</f>
        <v>Aguardando Aprovação</v>
      </c>
      <c r="E115" s="7">
        <v>8949.6</v>
      </c>
      <c r="F115" s="27">
        <v>0</v>
      </c>
      <c r="G115" s="8">
        <f>Tabela1[[#This Row],[Valor Global]]-Tabela1[[#This Row],[Faturado Acumulado]]</f>
        <v>8949.6</v>
      </c>
      <c r="H115" s="6" t="str">
        <f>VLOOKUP(Tabela1[[#This Row],[Número]],SAMC!A:F,4,0)</f>
        <v>Mecânica e Caldeiraria</v>
      </c>
      <c r="I115" s="1" t="str">
        <f>VLOOKUP(Tabela1[[#This Row],[Número]],SAMC!A:F,3,0)</f>
        <v>Mecânica - Betim</v>
      </c>
      <c r="J115" s="28"/>
      <c r="K115" s="28"/>
    </row>
    <row r="116" spans="1:11" s="19" customFormat="1" x14ac:dyDescent="0.35">
      <c r="A116" s="29" t="s">
        <v>926</v>
      </c>
      <c r="B116" s="1" t="s">
        <v>927</v>
      </c>
      <c r="C116" s="6" t="s">
        <v>72</v>
      </c>
      <c r="D116" s="2" t="str">
        <f>VLOOKUP(Tabela1[[#This Row],[Número]],SAMC!A:F,6,0)</f>
        <v>Aguardando classif contabil</v>
      </c>
      <c r="E116" s="7">
        <v>103710.44</v>
      </c>
      <c r="F116" s="27">
        <v>0</v>
      </c>
      <c r="G116" s="8">
        <f>Tabela1[[#This Row],[Valor Global]]-Tabela1[[#This Row],[Faturado Acumulado]]</f>
        <v>103710.44</v>
      </c>
      <c r="H116" s="6" t="str">
        <f>VLOOKUP(Tabela1[[#This Row],[Número]],SAMC!A:F,4,0)</f>
        <v>Civil</v>
      </c>
      <c r="I116" s="1" t="str">
        <f>VLOOKUP(Tabela1[[#This Row],[Número]],SAMC!A:F,3,0)</f>
        <v>Civil (projeto e manutenção civil) - Betim</v>
      </c>
      <c r="J116" s="28"/>
      <c r="K116" s="28"/>
    </row>
    <row r="117" spans="1:11" s="19" customFormat="1" x14ac:dyDescent="0.35">
      <c r="A117" s="29" t="s">
        <v>924</v>
      </c>
      <c r="B117" s="1" t="s">
        <v>925</v>
      </c>
      <c r="C117" s="6" t="s">
        <v>72</v>
      </c>
      <c r="D117" s="2" t="str">
        <f>VLOOKUP(Tabela1[[#This Row],[Número]],SAMC!A:F,6,0)</f>
        <v>Aguardando classif contabil</v>
      </c>
      <c r="E117" s="7">
        <v>96574.91</v>
      </c>
      <c r="F117" s="27">
        <v>0</v>
      </c>
      <c r="G117" s="8">
        <f>Tabela1[[#This Row],[Valor Global]]-Tabela1[[#This Row],[Faturado Acumulado]]</f>
        <v>96574.91</v>
      </c>
      <c r="H117" s="6" t="str">
        <f>VLOOKUP(Tabela1[[#This Row],[Número]],SAMC!A:F,4,0)</f>
        <v>Civil</v>
      </c>
      <c r="I117" s="1" t="str">
        <f>VLOOKUP(Tabela1[[#This Row],[Número]],SAMC!A:F,3,0)</f>
        <v>Civil (projeto e manutenção civil) - Betim</v>
      </c>
      <c r="J117" s="28"/>
      <c r="K117" s="28"/>
    </row>
    <row r="118" spans="1:11" s="19" customFormat="1" x14ac:dyDescent="0.35">
      <c r="A118" s="29" t="s">
        <v>922</v>
      </c>
      <c r="B118" s="1" t="s">
        <v>923</v>
      </c>
      <c r="C118" s="6" t="s">
        <v>73</v>
      </c>
      <c r="D118" s="2" t="str">
        <f>VLOOKUP(Tabela1[[#This Row],[Número]],SAMC!A:F,6,0)</f>
        <v>Aguardando Aprovação</v>
      </c>
      <c r="E118" s="7">
        <v>745.13</v>
      </c>
      <c r="F118" s="7">
        <v>0</v>
      </c>
      <c r="G118" s="8">
        <f>Tabela1[[#This Row],[Valor Global]]-Tabela1[[#This Row],[Faturado Acumulado]]</f>
        <v>745.13</v>
      </c>
      <c r="H118" s="6" t="str">
        <f>VLOOKUP(Tabela1[[#This Row],[Número]],SAMC!A:F,4,0)</f>
        <v>Mecânica e Caldeiraria</v>
      </c>
      <c r="I118" s="1" t="str">
        <f>VLOOKUP(Tabela1[[#This Row],[Número]],SAMC!A:F,3,0)</f>
        <v>Mecânica - Betim</v>
      </c>
      <c r="J118" s="28"/>
      <c r="K118" s="28"/>
    </row>
    <row r="119" spans="1:11" s="19" customFormat="1" x14ac:dyDescent="0.35">
      <c r="A119" s="12" t="s">
        <v>920</v>
      </c>
      <c r="B119" s="1" t="s">
        <v>921</v>
      </c>
      <c r="C119" s="6" t="s">
        <v>73</v>
      </c>
      <c r="D119" s="2" t="str">
        <f>VLOOKUP(Tabela1[[#This Row],[Número]],SAMC!A:F,6,0)</f>
        <v>Encaminhado p/ o fornecedor</v>
      </c>
      <c r="E119" s="7">
        <v>26797.32</v>
      </c>
      <c r="F119" s="7">
        <v>0</v>
      </c>
      <c r="G119" s="8">
        <f>Tabela1[[#This Row],[Valor Global]]-Tabela1[[#This Row],[Faturado Acumulado]]</f>
        <v>26797.32</v>
      </c>
      <c r="H119" s="6" t="str">
        <f>VLOOKUP(Tabela1[[#This Row],[Número]],SAMC!A:F,4,0)</f>
        <v>Civil</v>
      </c>
      <c r="I119" s="1" t="str">
        <f>VLOOKUP(Tabela1[[#This Row],[Número]],SAMC!A:F,3,0)</f>
        <v>Civil (projeto e manutenção civil) - Betim</v>
      </c>
      <c r="J119" s="28"/>
      <c r="K119" s="28"/>
    </row>
    <row r="120" spans="1:11" s="19" customFormat="1" x14ac:dyDescent="0.35">
      <c r="A120" s="12" t="s">
        <v>916</v>
      </c>
      <c r="B120" s="1" t="s">
        <v>917</v>
      </c>
      <c r="C120" s="6" t="s">
        <v>73</v>
      </c>
      <c r="D120" s="2" t="str">
        <f>VLOOKUP(Tabela1[[#This Row],[Número]],SAMC!A:F,6,0)</f>
        <v>Encaminhado p/ o fornecedor</v>
      </c>
      <c r="E120" s="7">
        <v>6581145.9900000002</v>
      </c>
      <c r="F120" s="7">
        <v>0</v>
      </c>
      <c r="G120" s="8">
        <f>Tabela1[[#This Row],[Valor Global]]-Tabela1[[#This Row],[Faturado Acumulado]]</f>
        <v>6581145.9900000002</v>
      </c>
      <c r="H120" s="6" t="str">
        <f>VLOOKUP(Tabela1[[#This Row],[Número]],SAMC!A:F,4,0)</f>
        <v>Civil</v>
      </c>
      <c r="I120" s="1" t="str">
        <f>VLOOKUP(Tabela1[[#This Row],[Número]],SAMC!A:F,3,0)</f>
        <v>Civil (projeto e manutenção civil) - Betim</v>
      </c>
      <c r="J120" s="28"/>
      <c r="K120" s="28"/>
    </row>
    <row r="121" spans="1:11" s="19" customFormat="1" x14ac:dyDescent="0.35">
      <c r="A121" s="12" t="s">
        <v>914</v>
      </c>
      <c r="B121" s="1" t="s">
        <v>915</v>
      </c>
      <c r="C121" s="6" t="s">
        <v>73</v>
      </c>
      <c r="D121" s="2" t="str">
        <f>VLOOKUP(Tabela1[[#This Row],[Número]],SAMC!A:F,6,0)</f>
        <v>Encaminhado p/ o fornecedor</v>
      </c>
      <c r="E121" s="7">
        <v>14002.66</v>
      </c>
      <c r="F121" s="7">
        <v>0</v>
      </c>
      <c r="G121" s="8">
        <f>Tabela1[[#This Row],[Valor Global]]-Tabela1[[#This Row],[Faturado Acumulado]]</f>
        <v>14002.66</v>
      </c>
      <c r="H121" s="6" t="str">
        <f>VLOOKUP(Tabela1[[#This Row],[Número]],SAMC!A:F,4,0)</f>
        <v>Civil</v>
      </c>
      <c r="I121" s="1" t="str">
        <f>VLOOKUP(Tabela1[[#This Row],[Número]],SAMC!A:F,3,0)</f>
        <v>Civil (projeto e manutenção civil) - Betim</v>
      </c>
      <c r="J121" s="28"/>
      <c r="K121" s="28"/>
    </row>
    <row r="122" spans="1:11" s="19" customFormat="1" x14ac:dyDescent="0.35">
      <c r="A122" s="29" t="s">
        <v>912</v>
      </c>
      <c r="B122" s="1" t="s">
        <v>913</v>
      </c>
      <c r="C122" s="6" t="s">
        <v>73</v>
      </c>
      <c r="D122" s="2" t="str">
        <f>VLOOKUP(Tabela1[[#This Row],[Número]],SAMC!A:F,6,0)</f>
        <v>Encaminhado p/ o fornecedor</v>
      </c>
      <c r="E122" s="7">
        <v>6528373.96</v>
      </c>
      <c r="F122" s="7">
        <v>0</v>
      </c>
      <c r="G122" s="8">
        <f>Tabela1[[#This Row],[Valor Global]]-Tabela1[[#This Row],[Faturado Acumulado]]</f>
        <v>6528373.96</v>
      </c>
      <c r="H122" s="6" t="str">
        <f>VLOOKUP(Tabela1[[#This Row],[Número]],SAMC!A:F,4,0)</f>
        <v>Civil</v>
      </c>
      <c r="I122" s="1" t="str">
        <f>VLOOKUP(Tabela1[[#This Row],[Número]],SAMC!A:F,3,0)</f>
        <v>Civil (projeto e manutenção civil) - Betim</v>
      </c>
      <c r="J122" s="28"/>
      <c r="K122" s="28"/>
    </row>
    <row r="123" spans="1:11" s="19" customFormat="1" x14ac:dyDescent="0.35">
      <c r="A123" s="12" t="s">
        <v>910</v>
      </c>
      <c r="B123" s="1" t="s">
        <v>911</v>
      </c>
      <c r="C123" s="6" t="s">
        <v>73</v>
      </c>
      <c r="D123" s="2" t="str">
        <f>VLOOKUP(Tabela1[[#This Row],[Número]],SAMC!A:F,6,0)</f>
        <v>Aguardando classif contabil</v>
      </c>
      <c r="E123" s="7">
        <v>5024416.3899999997</v>
      </c>
      <c r="F123" s="7">
        <v>0</v>
      </c>
      <c r="G123" s="8">
        <f>Tabela1[[#This Row],[Valor Global]]-Tabela1[[#This Row],[Faturado Acumulado]]</f>
        <v>5024416.3899999997</v>
      </c>
      <c r="H123" s="6" t="str">
        <f>VLOOKUP(Tabela1[[#This Row],[Número]],SAMC!A:F,4,0)</f>
        <v>Civil</v>
      </c>
      <c r="I123" s="1" t="str">
        <f>VLOOKUP(Tabela1[[#This Row],[Número]],SAMC!A:F,3,0)</f>
        <v>Civil (projeto e manutenção civil) - Betim</v>
      </c>
      <c r="J123" s="28"/>
      <c r="K123" s="28"/>
    </row>
    <row r="124" spans="1:11" s="19" customFormat="1" x14ac:dyDescent="0.35">
      <c r="A124" s="29" t="s">
        <v>908</v>
      </c>
      <c r="B124" s="1" t="s">
        <v>909</v>
      </c>
      <c r="C124" s="6" t="s">
        <v>73</v>
      </c>
      <c r="D124" s="2" t="str">
        <f>VLOOKUP(Tabela1[[#This Row],[Número]],SAMC!A:F,6,0)</f>
        <v>Aguardando Aprovação</v>
      </c>
      <c r="E124" s="7">
        <v>220829.79</v>
      </c>
      <c r="F124" s="7">
        <v>0</v>
      </c>
      <c r="G124" s="8">
        <f>Tabela1[[#This Row],[Valor Global]]-Tabela1[[#This Row],[Faturado Acumulado]]</f>
        <v>220829.79</v>
      </c>
      <c r="H124" s="6" t="str">
        <f>VLOOKUP(Tabela1[[#This Row],[Número]],SAMC!A:F,4,0)</f>
        <v>Civil</v>
      </c>
      <c r="I124" s="1" t="str">
        <f>VLOOKUP(Tabela1[[#This Row],[Número]],SAMC!A:F,3,0)</f>
        <v>Civil (projeto e manutenção civil) - Betim</v>
      </c>
      <c r="J124" s="28"/>
      <c r="K124" s="28"/>
    </row>
    <row r="125" spans="1:11" s="19" customFormat="1" x14ac:dyDescent="0.35">
      <c r="A125" s="29" t="s">
        <v>906</v>
      </c>
      <c r="B125" s="1" t="s">
        <v>907</v>
      </c>
      <c r="C125" s="6" t="s">
        <v>73</v>
      </c>
      <c r="D125" s="2" t="str">
        <f>VLOOKUP(Tabela1[[#This Row],[Número]],SAMC!A:F,6,0)</f>
        <v>Aguardando Aprovação</v>
      </c>
      <c r="E125" s="7">
        <v>276321.28999999998</v>
      </c>
      <c r="F125" s="7">
        <v>0</v>
      </c>
      <c r="G125" s="8">
        <f>Tabela1[[#This Row],[Valor Global]]-Tabela1[[#This Row],[Faturado Acumulado]]</f>
        <v>276321.28999999998</v>
      </c>
      <c r="H125" s="6" t="str">
        <f>VLOOKUP(Tabela1[[#This Row],[Número]],SAMC!A:F,4,0)</f>
        <v>Civil</v>
      </c>
      <c r="I125" s="1" t="str">
        <f>VLOOKUP(Tabela1[[#This Row],[Número]],SAMC!A:F,3,0)</f>
        <v>Civil (projeto e manutenção civil) - Betim</v>
      </c>
      <c r="J125" s="28"/>
      <c r="K125" s="28"/>
    </row>
    <row r="126" spans="1:11" s="19" customFormat="1" x14ac:dyDescent="0.35">
      <c r="A126" s="12" t="s">
        <v>904</v>
      </c>
      <c r="B126" s="1" t="s">
        <v>905</v>
      </c>
      <c r="C126" s="6" t="s">
        <v>72</v>
      </c>
      <c r="D126" s="2" t="str">
        <f>VLOOKUP(Tabela1[[#This Row],[Número]],SAMC!A:F,6,0)</f>
        <v>Em Andamento</v>
      </c>
      <c r="E126" s="7">
        <v>1198056</v>
      </c>
      <c r="F126" s="7">
        <v>0</v>
      </c>
      <c r="G126" s="8">
        <f>Tabela1[[#This Row],[Valor Global]]-Tabela1[[#This Row],[Faturado Acumulado]]</f>
        <v>1198056</v>
      </c>
      <c r="H126" s="6" t="str">
        <f>VLOOKUP(Tabela1[[#This Row],[Número]],SAMC!A:F,4,0)</f>
        <v>Parcela de gestão</v>
      </c>
      <c r="I126" s="1" t="str">
        <f>VLOOKUP(Tabela1[[#This Row],[Número]],SAMC!A:F,3,0)</f>
        <v>PLANEJAMENTO E GESTÃO</v>
      </c>
      <c r="J126" s="28"/>
      <c r="K126" s="28"/>
    </row>
    <row r="127" spans="1:11" s="19" customFormat="1" x14ac:dyDescent="0.35">
      <c r="A127" s="12" t="s">
        <v>902</v>
      </c>
      <c r="B127" s="1" t="s">
        <v>903</v>
      </c>
      <c r="C127" s="6" t="s">
        <v>72</v>
      </c>
      <c r="D127" s="2" t="str">
        <f>VLOOKUP(Tabela1[[#This Row],[Número]],SAMC!A:F,6,0)</f>
        <v>Em Revisão</v>
      </c>
      <c r="E127" s="7">
        <v>637412.37</v>
      </c>
      <c r="F127" s="7">
        <v>0</v>
      </c>
      <c r="G127" s="8">
        <f>Tabela1[[#This Row],[Valor Global]]-Tabela1[[#This Row],[Faturado Acumulado]]</f>
        <v>637412.37</v>
      </c>
      <c r="H127" s="6" t="str">
        <f>VLOOKUP(Tabela1[[#This Row],[Número]],SAMC!A:F,4,0)</f>
        <v>Manuteção Civil-Rotina</v>
      </c>
      <c r="I127" s="1" t="str">
        <f>VLOOKUP(Tabela1[[#This Row],[Número]],SAMC!A:F,3,0)</f>
        <v>Civil (projeto e manutenção civil) - Betim</v>
      </c>
      <c r="J127" s="28"/>
      <c r="K127" s="28"/>
    </row>
    <row r="128" spans="1:11" s="19" customFormat="1" x14ac:dyDescent="0.35">
      <c r="A128" s="12" t="s">
        <v>899</v>
      </c>
      <c r="B128" s="1" t="s">
        <v>900</v>
      </c>
      <c r="C128" s="6" t="s">
        <v>72</v>
      </c>
      <c r="D128" s="2" t="str">
        <f>VLOOKUP(Tabela1[[#This Row],[Número]],SAMC!A:F,6,0)</f>
        <v>Em Andamento</v>
      </c>
      <c r="E128" s="7">
        <v>2426132.79</v>
      </c>
      <c r="F128" s="7">
        <v>0</v>
      </c>
      <c r="G128" s="8">
        <f>Tabela1[[#This Row],[Valor Global]]-Tabela1[[#This Row],[Faturado Acumulado]]</f>
        <v>2426132.79</v>
      </c>
      <c r="H128" s="6" t="str">
        <f>VLOOKUP(Tabela1[[#This Row],[Número]],SAMC!A:F,4,0)</f>
        <v>Equipamentos</v>
      </c>
      <c r="I128" s="1" t="str">
        <f>VLOOKUP(Tabela1[[#This Row],[Número]],SAMC!A:F,3,0)</f>
        <v>SERVIÇOS DE APOIO - BETIM</v>
      </c>
      <c r="J128" s="28"/>
      <c r="K128" s="28"/>
    </row>
    <row r="129" spans="1:11" s="19" customFormat="1" x14ac:dyDescent="0.35">
      <c r="A129" s="12" t="s">
        <v>897</v>
      </c>
      <c r="B129" s="1" t="s">
        <v>898</v>
      </c>
      <c r="C129" s="6" t="s">
        <v>72</v>
      </c>
      <c r="D129" s="2" t="str">
        <f>VLOOKUP(Tabela1[[#This Row],[Número]],SAMC!A:F,6,0)</f>
        <v>Em Andamento</v>
      </c>
      <c r="E129" s="7">
        <v>219747.93</v>
      </c>
      <c r="F129" s="7">
        <v>0</v>
      </c>
      <c r="G129" s="8">
        <f>Tabela1[[#This Row],[Valor Global]]-Tabela1[[#This Row],[Faturado Acumulado]]</f>
        <v>219747.93</v>
      </c>
      <c r="H129" s="2" t="str">
        <f>VLOOKUP(Tabela1[[#This Row],[Número]],SAMC!A:F,4,0)</f>
        <v>Apoio - HS</v>
      </c>
      <c r="I129" s="1" t="str">
        <f>VLOOKUP(Tabela1[[#This Row],[Número]],SAMC!A:F,3,0)</f>
        <v>Mecânica - Betim</v>
      </c>
      <c r="J129" s="28"/>
      <c r="K129" s="28"/>
    </row>
    <row r="130" spans="1:11" s="19" customFormat="1" x14ac:dyDescent="0.35">
      <c r="A130" s="12" t="s">
        <v>895</v>
      </c>
      <c r="B130" s="1" t="s">
        <v>896</v>
      </c>
      <c r="C130" s="6" t="s">
        <v>72</v>
      </c>
      <c r="D130" s="2" t="str">
        <f>VLOOKUP(Tabela1[[#This Row],[Número]],SAMC!A:F,6,0)</f>
        <v>Em Andamento</v>
      </c>
      <c r="E130" s="7">
        <v>240268.71</v>
      </c>
      <c r="F130" s="7">
        <v>0</v>
      </c>
      <c r="G130" s="8">
        <f>Tabela1[[#This Row],[Valor Global]]-Tabela1[[#This Row],[Faturado Acumulado]]</f>
        <v>240268.71</v>
      </c>
      <c r="H130" s="6" t="str">
        <f>VLOOKUP(Tabela1[[#This Row],[Número]],SAMC!A:F,4,0)</f>
        <v>Apoio - HS</v>
      </c>
      <c r="I130" s="1" t="str">
        <f>VLOOKUP(Tabela1[[#This Row],[Número]],SAMC!A:F,3,0)</f>
        <v>Mecânica - Betim</v>
      </c>
      <c r="J130" s="28"/>
      <c r="K130" s="28"/>
    </row>
    <row r="131" spans="1:11" s="19" customFormat="1" x14ac:dyDescent="0.35">
      <c r="A131" s="12" t="s">
        <v>893</v>
      </c>
      <c r="B131" s="1" t="s">
        <v>894</v>
      </c>
      <c r="C131" s="6" t="s">
        <v>72</v>
      </c>
      <c r="D131" s="2" t="str">
        <f>VLOOKUP(Tabela1[[#This Row],[Número]],SAMC!A:F,6,0)</f>
        <v>Em Andamento</v>
      </c>
      <c r="E131" s="7">
        <v>99440.24</v>
      </c>
      <c r="F131" s="7">
        <v>0</v>
      </c>
      <c r="G131" s="8">
        <f>Tabela1[[#This Row],[Valor Global]]-Tabela1[[#This Row],[Faturado Acumulado]]</f>
        <v>99440.24</v>
      </c>
      <c r="H131" s="6" t="str">
        <f>VLOOKUP(Tabela1[[#This Row],[Número]],SAMC!A:F,4,0)</f>
        <v>Apoio - HS</v>
      </c>
      <c r="I131" s="1" t="str">
        <f>VLOOKUP(Tabela1[[#This Row],[Número]],SAMC!A:F,3,0)</f>
        <v>Elétrica e Instrumentação- Betim</v>
      </c>
      <c r="J131" s="28"/>
      <c r="K131" s="28"/>
    </row>
    <row r="132" spans="1:11" s="19" customFormat="1" x14ac:dyDescent="0.35">
      <c r="A132" s="12" t="s">
        <v>891</v>
      </c>
      <c r="B132" s="1" t="s">
        <v>892</v>
      </c>
      <c r="C132" s="6" t="s">
        <v>72</v>
      </c>
      <c r="D132" s="2" t="str">
        <f>VLOOKUP(Tabela1[[#This Row],[Número]],SAMC!A:F,6,0)</f>
        <v>Em Andamento</v>
      </c>
      <c r="E132" s="7">
        <v>93013.35</v>
      </c>
      <c r="F132" s="7">
        <v>0</v>
      </c>
      <c r="G132" s="8">
        <f>Tabela1[[#This Row],[Valor Global]]-Tabela1[[#This Row],[Faturado Acumulado]]</f>
        <v>93013.35</v>
      </c>
      <c r="H132" s="6" t="str">
        <f>VLOOKUP(Tabela1[[#This Row],[Número]],SAMC!A:F,4,0)</f>
        <v>Apoio - HS</v>
      </c>
      <c r="I132" s="1" t="str">
        <f>VLOOKUP(Tabela1[[#This Row],[Número]],SAMC!A:F,3,0)</f>
        <v>Civil (projeto e manutenção civil) - Betim</v>
      </c>
      <c r="J132" s="28"/>
      <c r="K132" s="28"/>
    </row>
    <row r="133" spans="1:11" s="19" customFormat="1" x14ac:dyDescent="0.35">
      <c r="A133" s="12" t="s">
        <v>889</v>
      </c>
      <c r="B133" s="1" t="s">
        <v>890</v>
      </c>
      <c r="C133" s="6" t="s">
        <v>72</v>
      </c>
      <c r="D133" s="2" t="str">
        <f>VLOOKUP(Tabela1[[#This Row],[Número]],SAMC!A:F,6,0)</f>
        <v>Em Andamento</v>
      </c>
      <c r="E133" s="7">
        <v>50192.34</v>
      </c>
      <c r="F133" s="7">
        <v>0</v>
      </c>
      <c r="G133" s="8">
        <f>Tabela1[[#This Row],[Valor Global]]-Tabela1[[#This Row],[Faturado Acumulado]]</f>
        <v>50192.34</v>
      </c>
      <c r="H133" s="6" t="str">
        <f>VLOOKUP(Tabela1[[#This Row],[Número]],SAMC!A:F,4,0)</f>
        <v>Elaboração de projeto</v>
      </c>
      <c r="I133" s="1" t="str">
        <f>VLOOKUP(Tabela1[[#This Row],[Número]],SAMC!A:F,3,0)</f>
        <v>PLANEJAMENTO E GESTÃO</v>
      </c>
      <c r="J133" s="28"/>
      <c r="K133" s="28"/>
    </row>
    <row r="134" spans="1:11" s="19" customFormat="1" x14ac:dyDescent="0.35">
      <c r="A134" s="12" t="s">
        <v>887</v>
      </c>
      <c r="B134" s="1" t="s">
        <v>888</v>
      </c>
      <c r="C134" s="6" t="s">
        <v>72</v>
      </c>
      <c r="D134" s="2" t="str">
        <f>VLOOKUP(Tabela1[[#This Row],[Número]],SAMC!A:F,6,0)</f>
        <v>Em Andamento</v>
      </c>
      <c r="E134" s="7">
        <v>50362.86</v>
      </c>
      <c r="F134" s="7">
        <v>0</v>
      </c>
      <c r="G134" s="8">
        <f>Tabela1[[#This Row],[Valor Global]]-Tabela1[[#This Row],[Faturado Acumulado]]</f>
        <v>50362.86</v>
      </c>
      <c r="H134" s="6" t="str">
        <f>VLOOKUP(Tabela1[[#This Row],[Número]],SAMC!A:F,4,0)</f>
        <v>Elaboração de projeto</v>
      </c>
      <c r="I134" s="1" t="str">
        <f>VLOOKUP(Tabela1[[#This Row],[Número]],SAMC!A:F,3,0)</f>
        <v>PLANEJAMENTO E GESTÃO</v>
      </c>
      <c r="J134" s="28"/>
      <c r="K134" s="28"/>
    </row>
    <row r="135" spans="1:11" s="19" customFormat="1" x14ac:dyDescent="0.35">
      <c r="A135" s="12" t="s">
        <v>885</v>
      </c>
      <c r="B135" s="1" t="s">
        <v>886</v>
      </c>
      <c r="C135" s="6" t="s">
        <v>72</v>
      </c>
      <c r="D135" s="2" t="str">
        <f>VLOOKUP(Tabela1[[#This Row],[Número]],SAMC!A:F,6,0)</f>
        <v>Encaminhado p/ o fornecedor</v>
      </c>
      <c r="E135" s="7">
        <v>63562.19</v>
      </c>
      <c r="F135" s="7">
        <v>0</v>
      </c>
      <c r="G135" s="8">
        <f>Tabela1[[#This Row],[Valor Global]]-Tabela1[[#This Row],[Faturado Acumulado]]</f>
        <v>63562.19</v>
      </c>
      <c r="H135" s="6" t="str">
        <f>VLOOKUP(Tabela1[[#This Row],[Número]],SAMC!A:F,4,0)</f>
        <v>Barragens</v>
      </c>
      <c r="I135" s="1" t="str">
        <f>VLOOKUP(Tabela1[[#This Row],[Número]],SAMC!A:F,3,0)</f>
        <v>CIVIL (Projetos e Monit e Manutenção de Barragem) - Ibirité</v>
      </c>
      <c r="J135" s="28"/>
      <c r="K135" s="28"/>
    </row>
    <row r="136" spans="1:11" s="19" customFormat="1" x14ac:dyDescent="0.35">
      <c r="A136" s="12" t="s">
        <v>881</v>
      </c>
      <c r="B136" s="1" t="s">
        <v>882</v>
      </c>
      <c r="C136" s="6" t="s">
        <v>72</v>
      </c>
      <c r="D136" s="2" t="str">
        <f>VLOOKUP(Tabela1[[#This Row],[Número]],SAMC!A:F,6,0)</f>
        <v>Aguardando Aprovação</v>
      </c>
      <c r="E136" s="7">
        <v>134259.82999999999</v>
      </c>
      <c r="F136" s="7">
        <v>0</v>
      </c>
      <c r="G136" s="8">
        <f>Tabela1[[#This Row],[Valor Global]]-Tabela1[[#This Row],[Faturado Acumulado]]</f>
        <v>134259.82999999999</v>
      </c>
      <c r="H136" s="6" t="str">
        <f>VLOOKUP(Tabela1[[#This Row],[Número]],SAMC!A:F,4,0)</f>
        <v>Revenda Materiais</v>
      </c>
      <c r="I136" s="1" t="str">
        <f>VLOOKUP(Tabela1[[#This Row],[Número]],SAMC!A:F,3,0)</f>
        <v>Receber Materiais - Regap-Betim</v>
      </c>
      <c r="J136" s="28"/>
      <c r="K136" s="28"/>
    </row>
    <row r="137" spans="1:11" s="19" customFormat="1" x14ac:dyDescent="0.35">
      <c r="A137" s="12" t="s">
        <v>879</v>
      </c>
      <c r="B137" s="1" t="s">
        <v>880</v>
      </c>
      <c r="C137" s="6" t="s">
        <v>72</v>
      </c>
      <c r="D137" s="2" t="str">
        <f>VLOOKUP(Tabela1[[#This Row],[Número]],SAMC!A:F,6,0)</f>
        <v>Aguardando classif contabil</v>
      </c>
      <c r="E137" s="7">
        <v>163054.55101639315</v>
      </c>
      <c r="F137" s="7">
        <v>0</v>
      </c>
      <c r="G137" s="8">
        <f>Tabela1[[#This Row],[Valor Global]]-Tabela1[[#This Row],[Faturado Acumulado]]</f>
        <v>163054.55101639315</v>
      </c>
      <c r="H137" s="6" t="str">
        <f>VLOOKUP(Tabela1[[#This Row],[Número]],SAMC!A:F,4,0)</f>
        <v>Civil</v>
      </c>
      <c r="I137" s="1" t="str">
        <f>VLOOKUP(Tabela1[[#This Row],[Número]],SAMC!A:F,3,0)</f>
        <v>CIVIL (Projetos e Monit e Manutenção de Barragem) - Ibirité</v>
      </c>
      <c r="J137" s="28"/>
      <c r="K137" s="28"/>
    </row>
    <row r="138" spans="1:11" s="19" customFormat="1" x14ac:dyDescent="0.35">
      <c r="A138" s="12" t="s">
        <v>877</v>
      </c>
      <c r="B138" s="1" t="s">
        <v>878</v>
      </c>
      <c r="C138" s="6" t="s">
        <v>72</v>
      </c>
      <c r="D138" s="2" t="str">
        <f>VLOOKUP(Tabela1[[#This Row],[Número]],SAMC!A:F,6,0)</f>
        <v>Aguardando classif contabil</v>
      </c>
      <c r="E138" s="7">
        <v>107052.37</v>
      </c>
      <c r="F138" s="7">
        <v>0</v>
      </c>
      <c r="G138" s="8">
        <f>Tabela1[[#This Row],[Valor Global]]-Tabela1[[#This Row],[Faturado Acumulado]]</f>
        <v>107052.37</v>
      </c>
      <c r="H138" s="6" t="str">
        <f>VLOOKUP(Tabela1[[#This Row],[Número]],SAMC!A:F,4,0)</f>
        <v>Elétrica e Instrumentação</v>
      </c>
      <c r="I138" s="1" t="str">
        <f>VLOOKUP(Tabela1[[#This Row],[Número]],SAMC!A:F,3,0)</f>
        <v>Elétrica e Instrumentação- Betim</v>
      </c>
      <c r="J138" s="28"/>
      <c r="K138" s="28"/>
    </row>
    <row r="139" spans="1:11" s="19" customFormat="1" x14ac:dyDescent="0.35">
      <c r="A139" s="12" t="s">
        <v>875</v>
      </c>
      <c r="B139" s="1" t="s">
        <v>876</v>
      </c>
      <c r="C139" s="6" t="s">
        <v>72</v>
      </c>
      <c r="D139" s="2" t="str">
        <f>VLOOKUP(Tabela1[[#This Row],[Número]],SAMC!A:F,6,0)</f>
        <v>Em Andamento</v>
      </c>
      <c r="E139" s="7">
        <v>11348.22048622494</v>
      </c>
      <c r="F139" s="7">
        <v>5821.1639048470588</v>
      </c>
      <c r="G139" s="8">
        <f>Tabela1[[#This Row],[Valor Global]]-Tabela1[[#This Row],[Faturado Acumulado]]</f>
        <v>5527.0565813778812</v>
      </c>
      <c r="H139" s="6" t="str">
        <f>VLOOKUP(Tabela1[[#This Row],[Número]],SAMC!A:F,4,0)</f>
        <v>Civil</v>
      </c>
      <c r="I139" s="1" t="str">
        <f>VLOOKUP(Tabela1[[#This Row],[Número]],SAMC!A:F,3,0)</f>
        <v>Civil (projeto e manutenção civil) - Betim</v>
      </c>
      <c r="J139" s="28"/>
      <c r="K139" s="28"/>
    </row>
    <row r="140" spans="1:11" s="19" customFormat="1" x14ac:dyDescent="0.35">
      <c r="A140" s="29" t="s">
        <v>873</v>
      </c>
      <c r="B140" s="1" t="s">
        <v>874</v>
      </c>
      <c r="C140" s="6" t="s">
        <v>72</v>
      </c>
      <c r="D140" s="2" t="str">
        <f>VLOOKUP(Tabela1[[#This Row],[Número]],SAMC!A:F,6,0)</f>
        <v>Aguardando classif contabil</v>
      </c>
      <c r="E140" s="7">
        <v>101025.95863184429</v>
      </c>
      <c r="F140" s="7">
        <v>0</v>
      </c>
      <c r="G140" s="8">
        <f>Tabela1[[#This Row],[Valor Global]]-Tabela1[[#This Row],[Faturado Acumulado]]</f>
        <v>101025.95863184429</v>
      </c>
      <c r="H140" s="6" t="str">
        <f>VLOOKUP(Tabela1[[#This Row],[Número]],SAMC!A:F,4,0)</f>
        <v>Civil</v>
      </c>
      <c r="I140" s="1" t="str">
        <f>VLOOKUP(Tabela1[[#This Row],[Número]],SAMC!A:F,3,0)</f>
        <v>Civil (projeto e manutenção civil) - Betim</v>
      </c>
      <c r="J140" s="28"/>
      <c r="K140" s="28"/>
    </row>
    <row r="141" spans="1:11" s="19" customFormat="1" x14ac:dyDescent="0.35">
      <c r="A141" s="12" t="s">
        <v>871</v>
      </c>
      <c r="B141" s="1" t="s">
        <v>872</v>
      </c>
      <c r="C141" s="6" t="s">
        <v>73</v>
      </c>
      <c r="D141" s="2" t="str">
        <f>VLOOKUP(Tabela1[[#This Row],[Número]],SAMC!A:F,6,0)</f>
        <v>Aguardando Aprovação</v>
      </c>
      <c r="E141" s="7">
        <v>558025.69164380152</v>
      </c>
      <c r="F141" s="7">
        <v>0</v>
      </c>
      <c r="G141" s="8">
        <f>Tabela1[[#This Row],[Valor Global]]-Tabela1[[#This Row],[Faturado Acumulado]]</f>
        <v>558025.69164380152</v>
      </c>
      <c r="H141" s="2" t="str">
        <f>VLOOKUP(Tabela1[[#This Row],[Número]],SAMC!A:F,4,0)</f>
        <v>Civil</v>
      </c>
      <c r="I141" s="1" t="str">
        <f>VLOOKUP(Tabela1[[#This Row],[Número]],SAMC!A:F,3,0)</f>
        <v>Civil (projeto e manutenção civil) - Betim</v>
      </c>
      <c r="J141" s="28"/>
      <c r="K141" s="28"/>
    </row>
    <row r="142" spans="1:11" s="19" customFormat="1" x14ac:dyDescent="0.35">
      <c r="A142" s="12" t="s">
        <v>869</v>
      </c>
      <c r="B142" s="1" t="s">
        <v>870</v>
      </c>
      <c r="C142" s="6" t="s">
        <v>73</v>
      </c>
      <c r="D142" s="2" t="str">
        <f>VLOOKUP(Tabela1[[#This Row],[Número]],SAMC!A:F,6,0)</f>
        <v>Aguardando Aprovação</v>
      </c>
      <c r="E142" s="7">
        <v>203091.18</v>
      </c>
      <c r="F142" s="7">
        <v>0</v>
      </c>
      <c r="G142" s="8">
        <f>Tabela1[[#This Row],[Valor Global]]-Tabela1[[#This Row],[Faturado Acumulado]]</f>
        <v>203091.18</v>
      </c>
      <c r="H142" s="2" t="str">
        <f>VLOOKUP(Tabela1[[#This Row],[Número]],SAMC!A:F,4,0)</f>
        <v>Elétrica e Instrumentação</v>
      </c>
      <c r="I142" s="1" t="str">
        <f>VLOOKUP(Tabela1[[#This Row],[Número]],SAMC!A:F,3,0)</f>
        <v>Elétrica e Instrumentação- Betim</v>
      </c>
      <c r="J142" s="28"/>
      <c r="K142" s="28"/>
    </row>
    <row r="143" spans="1:11" s="19" customFormat="1" x14ac:dyDescent="0.35">
      <c r="A143" s="12" t="s">
        <v>867</v>
      </c>
      <c r="B143" s="1" t="s">
        <v>868</v>
      </c>
      <c r="C143" s="6" t="s">
        <v>72</v>
      </c>
      <c r="D143" s="2" t="str">
        <f>VLOOKUP(Tabela1[[#This Row],[Número]],SAMC!A:F,6,0)</f>
        <v>Aguardando classif contabil</v>
      </c>
      <c r="E143" s="7">
        <v>16482.18</v>
      </c>
      <c r="F143" s="7">
        <v>0</v>
      </c>
      <c r="G143" s="8">
        <f>Tabela1[[#This Row],[Valor Global]]-Tabela1[[#This Row],[Faturado Acumulado]]</f>
        <v>16482.18</v>
      </c>
      <c r="H143" s="2" t="str">
        <f>VLOOKUP(Tabela1[[#This Row],[Número]],SAMC!A:F,4,0)</f>
        <v>Elaboração de projeto</v>
      </c>
      <c r="I143" s="1" t="str">
        <f>VLOOKUP(Tabela1[[#This Row],[Número]],SAMC!A:F,3,0)</f>
        <v>Civil (projeto e manutenção civil) - Betim</v>
      </c>
      <c r="J143" s="28"/>
      <c r="K143" s="28"/>
    </row>
    <row r="144" spans="1:11" s="19" customFormat="1" x14ac:dyDescent="0.35">
      <c r="A144" s="12" t="s">
        <v>865</v>
      </c>
      <c r="B144" s="1" t="s">
        <v>866</v>
      </c>
      <c r="C144" s="6" t="s">
        <v>72</v>
      </c>
      <c r="D144" s="2" t="str">
        <f>VLOOKUP(Tabela1[[#This Row],[Número]],SAMC!A:F,6,0)</f>
        <v>Aguardando classif contabil</v>
      </c>
      <c r="E144" s="7">
        <v>59675.877802295523</v>
      </c>
      <c r="F144" s="7">
        <v>0</v>
      </c>
      <c r="G144" s="8">
        <f>Tabela1[[#This Row],[Valor Global]]-Tabela1[[#This Row],[Faturado Acumulado]]</f>
        <v>59675.877802295523</v>
      </c>
      <c r="H144" s="2" t="str">
        <f>VLOOKUP(Tabela1[[#This Row],[Número]],SAMC!A:F,4,0)</f>
        <v>Civil</v>
      </c>
      <c r="I144" s="1" t="str">
        <f>VLOOKUP(Tabela1[[#This Row],[Número]],SAMC!A:F,3,0)</f>
        <v>Civil (projeto e manutenção civil) - Betim</v>
      </c>
      <c r="J144" s="28"/>
      <c r="K144" s="28"/>
    </row>
    <row r="145" spans="1:11" s="19" customFormat="1" x14ac:dyDescent="0.35">
      <c r="A145" s="12" t="s">
        <v>863</v>
      </c>
      <c r="B145" s="1" t="s">
        <v>864</v>
      </c>
      <c r="C145" s="6" t="s">
        <v>72</v>
      </c>
      <c r="D145" s="2" t="str">
        <f>VLOOKUP(Tabela1[[#This Row],[Número]],SAMC!A:F,6,0)</f>
        <v>Aguardando classif contabil</v>
      </c>
      <c r="E145" s="7">
        <v>108369.64704437957</v>
      </c>
      <c r="F145" s="7">
        <v>0</v>
      </c>
      <c r="G145" s="8">
        <f>Tabela1[[#This Row],[Valor Global]]-Tabela1[[#This Row],[Faturado Acumulado]]</f>
        <v>108369.64704437957</v>
      </c>
      <c r="H145" s="2" t="str">
        <f>VLOOKUP(Tabela1[[#This Row],[Número]],SAMC!A:F,4,0)</f>
        <v>Elétrica e Instrumentação</v>
      </c>
      <c r="I145" s="1" t="str">
        <f>VLOOKUP(Tabela1[[#This Row],[Número]],SAMC!A:F,3,0)</f>
        <v>Elétrica e Instrumentação- Betim</v>
      </c>
      <c r="J145" s="28"/>
      <c r="K145" s="28"/>
    </row>
    <row r="146" spans="1:11" s="19" customFormat="1" x14ac:dyDescent="0.35">
      <c r="A146" s="12" t="s">
        <v>861</v>
      </c>
      <c r="B146" s="1" t="s">
        <v>862</v>
      </c>
      <c r="C146" s="6" t="s">
        <v>72</v>
      </c>
      <c r="D146" s="2" t="str">
        <f>VLOOKUP(Tabela1[[#This Row],[Número]],SAMC!A:F,6,0)</f>
        <v>Aguardando classif contabil</v>
      </c>
      <c r="E146" s="7">
        <v>64074.075630770312</v>
      </c>
      <c r="F146" s="7">
        <v>0</v>
      </c>
      <c r="G146" s="8">
        <f>Tabela1[[#This Row],[Valor Global]]-Tabela1[[#This Row],[Faturado Acumulado]]</f>
        <v>64074.075630770312</v>
      </c>
      <c r="H146" s="2" t="str">
        <f>VLOOKUP(Tabela1[[#This Row],[Número]],SAMC!A:F,4,0)</f>
        <v>Civil</v>
      </c>
      <c r="I146" s="1" t="str">
        <f>VLOOKUP(Tabela1[[#This Row],[Número]],SAMC!A:F,3,0)</f>
        <v>Civil (projeto e manutenção civil) - Betim</v>
      </c>
      <c r="J146" s="28"/>
      <c r="K146" s="28"/>
    </row>
    <row r="147" spans="1:11" s="19" customFormat="1" x14ac:dyDescent="0.35">
      <c r="A147" s="12" t="s">
        <v>859</v>
      </c>
      <c r="B147" s="1" t="s">
        <v>860</v>
      </c>
      <c r="C147" s="6" t="s">
        <v>72</v>
      </c>
      <c r="D147" s="2" t="str">
        <f>VLOOKUP(Tabela1[[#This Row],[Número]],SAMC!A:F,6,0)</f>
        <v>Em Andamento</v>
      </c>
      <c r="E147" s="7">
        <v>25506.36</v>
      </c>
      <c r="F147" s="7">
        <v>0</v>
      </c>
      <c r="G147" s="8">
        <f>Tabela1[[#This Row],[Valor Global]]-Tabela1[[#This Row],[Faturado Acumulado]]</f>
        <v>25506.36</v>
      </c>
      <c r="H147" s="2" t="str">
        <f>VLOOKUP(Tabela1[[#This Row],[Número]],SAMC!A:F,4,0)</f>
        <v>Elaboração de projeto</v>
      </c>
      <c r="I147" s="1" t="str">
        <f>VLOOKUP(Tabela1[[#This Row],[Número]],SAMC!A:F,3,0)</f>
        <v>Civil (projeto e manutenção civil) - Betim</v>
      </c>
      <c r="J147" s="28"/>
      <c r="K147" s="28"/>
    </row>
    <row r="148" spans="1:11" s="19" customFormat="1" x14ac:dyDescent="0.35">
      <c r="A148" s="12" t="s">
        <v>857</v>
      </c>
      <c r="B148" s="1" t="s">
        <v>858</v>
      </c>
      <c r="C148" s="6" t="s">
        <v>72</v>
      </c>
      <c r="D148" s="2" t="str">
        <f>VLOOKUP(Tabela1[[#This Row],[Número]],SAMC!A:F,6,0)</f>
        <v>Aguardando Aprovação</v>
      </c>
      <c r="E148" s="7">
        <v>38402.949999999997</v>
      </c>
      <c r="F148" s="7">
        <v>0</v>
      </c>
      <c r="G148" s="8">
        <f>Tabela1[[#This Row],[Valor Global]]-Tabela1[[#This Row],[Faturado Acumulado]]</f>
        <v>38402.949999999997</v>
      </c>
      <c r="H148" s="6" t="str">
        <f>VLOOKUP(Tabela1[[#This Row],[Número]],SAMC!A:F,4,0)</f>
        <v>Revenda Materiais</v>
      </c>
      <c r="I148" s="1" t="str">
        <f>VLOOKUP(Tabela1[[#This Row],[Número]],SAMC!A:F,3,0)</f>
        <v>Receber Materiais - Regap-Betim</v>
      </c>
      <c r="J148" s="28"/>
      <c r="K148" s="28"/>
    </row>
    <row r="149" spans="1:11" s="19" customFormat="1" x14ac:dyDescent="0.35">
      <c r="A149" s="12" t="s">
        <v>855</v>
      </c>
      <c r="B149" s="1" t="s">
        <v>856</v>
      </c>
      <c r="C149" s="6" t="s">
        <v>73</v>
      </c>
      <c r="D149" s="2" t="str">
        <f>VLOOKUP(Tabela1[[#This Row],[Número]],SAMC!A:F,6,0)</f>
        <v>Aguardando Aprovação</v>
      </c>
      <c r="E149" s="7">
        <v>13776.75</v>
      </c>
      <c r="F149" s="7">
        <v>0</v>
      </c>
      <c r="G149" s="8">
        <f>Tabela1[[#This Row],[Valor Global]]-Tabela1[[#This Row],[Faturado Acumulado]]</f>
        <v>13776.75</v>
      </c>
      <c r="H149" s="6" t="str">
        <f>VLOOKUP(Tabela1[[#This Row],[Número]],SAMC!A:F,4,0)</f>
        <v>Elétrica e Instrumentação</v>
      </c>
      <c r="I149" s="1" t="str">
        <f>VLOOKUP(Tabela1[[#This Row],[Número]],SAMC!A:F,3,0)</f>
        <v>Elétrica e Instrumentação- Betim</v>
      </c>
      <c r="J149" s="28"/>
      <c r="K149" s="28"/>
    </row>
    <row r="150" spans="1:11" s="19" customFormat="1" x14ac:dyDescent="0.35">
      <c r="A150" s="12" t="s">
        <v>853</v>
      </c>
      <c r="B150" s="1" t="s">
        <v>854</v>
      </c>
      <c r="C150" s="6" t="s">
        <v>72</v>
      </c>
      <c r="D150" s="2" t="str">
        <f>VLOOKUP(Tabela1[[#This Row],[Número]],SAMC!A:F,6,0)</f>
        <v>Aguardando classif contabil</v>
      </c>
      <c r="E150" s="7">
        <v>29532.92</v>
      </c>
      <c r="F150" s="7">
        <v>0</v>
      </c>
      <c r="G150" s="8">
        <f>Tabela1[[#This Row],[Valor Global]]-Tabela1[[#This Row],[Faturado Acumulado]]</f>
        <v>29532.92</v>
      </c>
      <c r="H150" s="6" t="str">
        <f>VLOOKUP(Tabela1[[#This Row],[Número]],SAMC!A:F,4,0)</f>
        <v>Civil</v>
      </c>
      <c r="I150" s="1" t="str">
        <f>VLOOKUP(Tabela1[[#This Row],[Número]],SAMC!A:F,3,0)</f>
        <v>Civil (projeto e manutenção civil) - Betim</v>
      </c>
      <c r="J150" s="28"/>
      <c r="K150" s="28"/>
    </row>
    <row r="151" spans="1:11" s="19" customFormat="1" x14ac:dyDescent="0.35">
      <c r="A151" s="12" t="s">
        <v>851</v>
      </c>
      <c r="B151" s="1" t="s">
        <v>852</v>
      </c>
      <c r="C151" s="6" t="s">
        <v>72</v>
      </c>
      <c r="D151" s="2" t="str">
        <f>VLOOKUP(Tabela1[[#This Row],[Número]],SAMC!A:F,6,0)</f>
        <v>Em Andamento</v>
      </c>
      <c r="E151" s="7">
        <v>16742.406428443246</v>
      </c>
      <c r="F151" s="7">
        <v>0</v>
      </c>
      <c r="G151" s="8">
        <f>Tabela1[[#This Row],[Valor Global]]-Tabela1[[#This Row],[Faturado Acumulado]]</f>
        <v>16742.406428443246</v>
      </c>
      <c r="H151" s="6" t="str">
        <f>VLOOKUP(Tabela1[[#This Row],[Número]],SAMC!A:F,4,0)</f>
        <v>Civil</v>
      </c>
      <c r="I151" s="1" t="str">
        <f>VLOOKUP(Tabela1[[#This Row],[Número]],SAMC!A:F,3,0)</f>
        <v>Civil (projeto e manutenção civil) - Betim</v>
      </c>
      <c r="J151" s="28"/>
      <c r="K151" s="28"/>
    </row>
    <row r="152" spans="1:11" s="19" customFormat="1" x14ac:dyDescent="0.35">
      <c r="A152" s="12" t="s">
        <v>849</v>
      </c>
      <c r="B152" s="1" t="s">
        <v>850</v>
      </c>
      <c r="C152" s="6" t="s">
        <v>73</v>
      </c>
      <c r="D152" s="2" t="str">
        <f>VLOOKUP(Tabela1[[#This Row],[Número]],SAMC!A:F,6,0)</f>
        <v>Aguardando Aprovação</v>
      </c>
      <c r="E152" s="7">
        <v>12952.684572291073</v>
      </c>
      <c r="F152" s="7">
        <v>0</v>
      </c>
      <c r="G152" s="8">
        <f>Tabela1[[#This Row],[Valor Global]]-Tabela1[[#This Row],[Faturado Acumulado]]</f>
        <v>12952.684572291073</v>
      </c>
      <c r="H152" s="6" t="str">
        <f>VLOOKUP(Tabela1[[#This Row],[Número]],SAMC!A:F,4,0)</f>
        <v>Elétrica e Instrumentação</v>
      </c>
      <c r="I152" s="1" t="str">
        <f>VLOOKUP(Tabela1[[#This Row],[Número]],SAMC!A:F,3,0)</f>
        <v>Elétrica e Instrumentação- Betim</v>
      </c>
      <c r="J152" s="28"/>
      <c r="K152" s="28"/>
    </row>
    <row r="153" spans="1:11" s="19" customFormat="1" x14ac:dyDescent="0.35">
      <c r="A153" s="12" t="s">
        <v>847</v>
      </c>
      <c r="B153" s="1" t="s">
        <v>848</v>
      </c>
      <c r="C153" s="6" t="s">
        <v>72</v>
      </c>
      <c r="D153" s="2" t="str">
        <f>VLOOKUP(Tabela1[[#This Row],[Número]],SAMC!A:F,6,0)</f>
        <v>Aguardando Aprovação</v>
      </c>
      <c r="E153" s="7">
        <v>56817.011641197998</v>
      </c>
      <c r="F153" s="7">
        <v>0</v>
      </c>
      <c r="G153" s="8">
        <f>Tabela1[[#This Row],[Valor Global]]-Tabela1[[#This Row],[Faturado Acumulado]]</f>
        <v>56817.011641197998</v>
      </c>
      <c r="H153" s="6" t="str">
        <f>VLOOKUP(Tabela1[[#This Row],[Número]],SAMC!A:F,4,0)</f>
        <v>Civil</v>
      </c>
      <c r="I153" s="1" t="str">
        <f>VLOOKUP(Tabela1[[#This Row],[Número]],SAMC!A:F,3,0)</f>
        <v>Civil (projeto e manutenção civil) - Betim</v>
      </c>
      <c r="J153" s="28"/>
      <c r="K153" s="28"/>
    </row>
    <row r="154" spans="1:11" s="19" customFormat="1" x14ac:dyDescent="0.35">
      <c r="A154" s="12" t="s">
        <v>845</v>
      </c>
      <c r="B154" s="1" t="s">
        <v>846</v>
      </c>
      <c r="C154" s="6" t="s">
        <v>73</v>
      </c>
      <c r="D154" s="2" t="str">
        <f>VLOOKUP(Tabela1[[#This Row],[Número]],SAMC!A:F,6,0)</f>
        <v>Aguardando classif contabil</v>
      </c>
      <c r="E154" s="7">
        <v>51431.741019649176</v>
      </c>
      <c r="F154" s="7">
        <v>0</v>
      </c>
      <c r="G154" s="8">
        <f>Tabela1[[#This Row],[Valor Global]]-Tabela1[[#This Row],[Faturado Acumulado]]</f>
        <v>51431.741019649176</v>
      </c>
      <c r="H154" s="6" t="str">
        <f>VLOOKUP(Tabela1[[#This Row],[Número]],SAMC!A:F,4,0)</f>
        <v>Revenda Materiais</v>
      </c>
      <c r="I154" s="1" t="str">
        <f>VLOOKUP(Tabela1[[#This Row],[Número]],SAMC!A:F,3,0)</f>
        <v>Receber Materiais - Regap-Betim</v>
      </c>
      <c r="J154" s="28"/>
      <c r="K154" s="28"/>
    </row>
    <row r="155" spans="1:11" s="19" customFormat="1" x14ac:dyDescent="0.35">
      <c r="A155" s="12" t="s">
        <v>843</v>
      </c>
      <c r="B155" s="1" t="s">
        <v>844</v>
      </c>
      <c r="C155" s="6" t="s">
        <v>73</v>
      </c>
      <c r="D155" s="2" t="str">
        <f>VLOOKUP(Tabela1[[#This Row],[Número]],SAMC!A:F,6,0)</f>
        <v>Aguardando classif contabil</v>
      </c>
      <c r="E155" s="7">
        <v>113084.8211745747</v>
      </c>
      <c r="F155" s="7">
        <v>0</v>
      </c>
      <c r="G155" s="8">
        <f>Tabela1[[#This Row],[Valor Global]]-Tabela1[[#This Row],[Faturado Acumulado]]</f>
        <v>113084.8211745747</v>
      </c>
      <c r="H155" s="6" t="str">
        <f>VLOOKUP(Tabela1[[#This Row],[Número]],SAMC!A:F,4,0)</f>
        <v>Mecânica e Caldeiraria</v>
      </c>
      <c r="I155" s="1" t="str">
        <f>VLOOKUP(Tabela1[[#This Row],[Número]],SAMC!A:F,3,0)</f>
        <v>Mecânica - Betim</v>
      </c>
      <c r="J155" s="28"/>
      <c r="K155" s="28"/>
    </row>
    <row r="156" spans="1:11" s="19" customFormat="1" x14ac:dyDescent="0.35">
      <c r="A156" s="12" t="s">
        <v>841</v>
      </c>
      <c r="B156" s="1" t="s">
        <v>842</v>
      </c>
      <c r="C156" s="6" t="s">
        <v>73</v>
      </c>
      <c r="D156" s="2" t="str">
        <f>VLOOKUP(Tabela1[[#This Row],[Número]],SAMC!A:F,6,0)</f>
        <v>Aguardando classif contabil</v>
      </c>
      <c r="E156" s="7">
        <v>258442.86045349852</v>
      </c>
      <c r="F156" s="7">
        <v>0</v>
      </c>
      <c r="G156" s="8">
        <f>Tabela1[[#This Row],[Valor Global]]-Tabela1[[#This Row],[Faturado Acumulado]]</f>
        <v>258442.86045349852</v>
      </c>
      <c r="H156" s="6" t="str">
        <f>VLOOKUP(Tabela1[[#This Row],[Número]],SAMC!A:F,4,0)</f>
        <v>Civil</v>
      </c>
      <c r="I156" s="1" t="str">
        <f>VLOOKUP(Tabela1[[#This Row],[Número]],SAMC!A:F,3,0)</f>
        <v>Civil (projeto e manutenção civil) - Betim</v>
      </c>
      <c r="J156" s="28"/>
      <c r="K156" s="28"/>
    </row>
    <row r="157" spans="1:11" s="19" customFormat="1" x14ac:dyDescent="0.35">
      <c r="A157" s="12" t="s">
        <v>839</v>
      </c>
      <c r="B157" s="1" t="s">
        <v>840</v>
      </c>
      <c r="C157" s="6" t="s">
        <v>73</v>
      </c>
      <c r="D157" s="2" t="str">
        <f>VLOOKUP(Tabela1[[#This Row],[Número]],SAMC!A:F,6,0)</f>
        <v>Aguardando classif contabil</v>
      </c>
      <c r="E157" s="7">
        <v>885463.97106403764</v>
      </c>
      <c r="F157" s="7">
        <v>0</v>
      </c>
      <c r="G157" s="8">
        <f>Tabela1[[#This Row],[Valor Global]]-Tabela1[[#This Row],[Faturado Acumulado]]</f>
        <v>885463.97106403764</v>
      </c>
      <c r="H157" s="6" t="str">
        <f>VLOOKUP(Tabela1[[#This Row],[Número]],SAMC!A:F,4,0)</f>
        <v>Civil</v>
      </c>
      <c r="I157" s="1" t="str">
        <f>VLOOKUP(Tabela1[[#This Row],[Número]],SAMC!A:F,3,0)</f>
        <v>Civil (projeto e manutenção civil) - Betim</v>
      </c>
      <c r="J157" s="28"/>
      <c r="K157" s="28"/>
    </row>
    <row r="158" spans="1:11" s="19" customFormat="1" x14ac:dyDescent="0.35">
      <c r="A158" s="12" t="s">
        <v>837</v>
      </c>
      <c r="B158" s="1" t="s">
        <v>838</v>
      </c>
      <c r="C158" s="6" t="s">
        <v>73</v>
      </c>
      <c r="D158" s="6" t="str">
        <f>VLOOKUP(Tabela1[[#This Row],[Número]],SAMC!A:F,6,0)</f>
        <v>Aguardando classif contabil</v>
      </c>
      <c r="E158" s="7">
        <v>110597.5</v>
      </c>
      <c r="F158" s="7">
        <v>0</v>
      </c>
      <c r="G158" s="8">
        <f>Tabela1[[#This Row],[Valor Global]]-Tabela1[[#This Row],[Faturado Acumulado]]</f>
        <v>110597.5</v>
      </c>
      <c r="H158" s="6" t="str">
        <f>VLOOKUP(Tabela1[[#This Row],[Número]],SAMC!A:F,4,0)</f>
        <v>Mecânica e Caldeiraria</v>
      </c>
      <c r="I158" s="1" t="str">
        <f>VLOOKUP(Tabela1[[#This Row],[Número]],SAMC!A:F,3,0)</f>
        <v>Mecânica - Betim</v>
      </c>
      <c r="J158" s="28"/>
      <c r="K158" s="28"/>
    </row>
    <row r="159" spans="1:11" s="19" customFormat="1" x14ac:dyDescent="0.35">
      <c r="A159" s="12" t="s">
        <v>835</v>
      </c>
      <c r="B159" s="1" t="s">
        <v>836</v>
      </c>
      <c r="C159" s="6" t="s">
        <v>73</v>
      </c>
      <c r="D159" s="6" t="str">
        <f>VLOOKUP(Tabela1[[#This Row],[Número]],SAMC!A:F,6,0)</f>
        <v>Em Andamento</v>
      </c>
      <c r="E159" s="7">
        <v>10170.719999999999</v>
      </c>
      <c r="F159" s="7">
        <v>3661.4595527152942</v>
      </c>
      <c r="G159" s="8">
        <f>Tabela1[[#This Row],[Valor Global]]-Tabela1[[#This Row],[Faturado Acumulado]]</f>
        <v>6509.2604472847052</v>
      </c>
      <c r="H159" s="6" t="str">
        <f>VLOOKUP(Tabela1[[#This Row],[Número]],SAMC!A:F,4,0)</f>
        <v>Civil</v>
      </c>
      <c r="I159" s="1" t="str">
        <f>VLOOKUP(Tabela1[[#This Row],[Número]],SAMC!A:F,3,0)</f>
        <v>Civil (projeto e manutenção civil) - Betim</v>
      </c>
      <c r="J159" s="28"/>
      <c r="K159" s="28"/>
    </row>
    <row r="160" spans="1:11" s="19" customFormat="1" x14ac:dyDescent="0.35">
      <c r="A160" s="12" t="s">
        <v>833</v>
      </c>
      <c r="B160" s="1" t="s">
        <v>834</v>
      </c>
      <c r="C160" s="6" t="s">
        <v>72</v>
      </c>
      <c r="D160" s="6" t="str">
        <f>VLOOKUP(Tabela1[[#This Row],[Número]],SAMC!A:F,6,0)</f>
        <v>Aguardando Aprovação</v>
      </c>
      <c r="E160" s="7">
        <v>0</v>
      </c>
      <c r="F160" s="7">
        <v>0</v>
      </c>
      <c r="G160" s="8">
        <f>Tabela1[[#This Row],[Valor Global]]-Tabela1[[#This Row],[Faturado Acumulado]]</f>
        <v>0</v>
      </c>
      <c r="H160" s="6" t="str">
        <f>VLOOKUP(Tabela1[[#This Row],[Número]],SAMC!A:F,4,0)</f>
        <v>RO administrativo</v>
      </c>
      <c r="I160" s="1" t="str">
        <f>VLOOKUP(Tabela1[[#This Row],[Número]],SAMC!A:F,3,0)</f>
        <v>PLANEJAMENTO E GESTÃO</v>
      </c>
      <c r="J160" s="28"/>
      <c r="K160" s="28"/>
    </row>
    <row r="161" spans="1:11" s="19" customFormat="1" x14ac:dyDescent="0.35">
      <c r="A161" s="12" t="s">
        <v>831</v>
      </c>
      <c r="B161" s="1" t="s">
        <v>832</v>
      </c>
      <c r="C161" s="6" t="s">
        <v>72</v>
      </c>
      <c r="D161" s="6" t="str">
        <f>VLOOKUP(Tabela1[[#This Row],[Número]],SAMC!A:F,6,0)</f>
        <v>Aguardando Aprovação</v>
      </c>
      <c r="E161" s="7">
        <v>166177.79999999999</v>
      </c>
      <c r="F161" s="7">
        <v>0</v>
      </c>
      <c r="G161" s="8">
        <f>Tabela1[[#This Row],[Valor Global]]-Tabela1[[#This Row],[Faturado Acumulado]]</f>
        <v>166177.79999999999</v>
      </c>
      <c r="H161" s="6" t="str">
        <f>VLOOKUP(Tabela1[[#This Row],[Número]],SAMC!A:F,4,0)</f>
        <v>Elaboração de projeto</v>
      </c>
      <c r="I161" s="1" t="str">
        <f>VLOOKUP(Tabela1[[#This Row],[Número]],SAMC!A:F,3,0)</f>
        <v>Civil (projeto e manutenção civil) - Betim</v>
      </c>
      <c r="J161" s="28"/>
      <c r="K161" s="28"/>
    </row>
    <row r="162" spans="1:11" s="19" customFormat="1" x14ac:dyDescent="0.35">
      <c r="A162" s="12" t="s">
        <v>829</v>
      </c>
      <c r="B162" s="1" t="s">
        <v>830</v>
      </c>
      <c r="C162" s="6" t="s">
        <v>72</v>
      </c>
      <c r="D162" s="6" t="str">
        <f>VLOOKUP(Tabela1[[#This Row],[Número]],SAMC!A:F,6,0)</f>
        <v>Aguardando Planejamento</v>
      </c>
      <c r="E162" s="7">
        <v>0</v>
      </c>
      <c r="F162" s="7">
        <v>0</v>
      </c>
      <c r="G162" s="8">
        <f>Tabela1[[#This Row],[Valor Global]]-Tabela1[[#This Row],[Faturado Acumulado]]</f>
        <v>0</v>
      </c>
      <c r="H162" s="6" t="str">
        <f>VLOOKUP(Tabela1[[#This Row],[Número]],SAMC!A:F,4,0)</f>
        <v>Civil</v>
      </c>
      <c r="I162" s="1" t="str">
        <f>VLOOKUP(Tabela1[[#This Row],[Número]],SAMC!A:F,3,0)</f>
        <v>Civil (projeto e manutenção civil) - Betim</v>
      </c>
      <c r="J162" s="28"/>
      <c r="K162" s="28"/>
    </row>
    <row r="163" spans="1:11" s="19" customFormat="1" x14ac:dyDescent="0.35">
      <c r="A163" s="12" t="s">
        <v>827</v>
      </c>
      <c r="B163" s="1" t="s">
        <v>828</v>
      </c>
      <c r="C163" s="6" t="s">
        <v>72</v>
      </c>
      <c r="D163" s="6" t="str">
        <f>VLOOKUP(Tabela1[[#This Row],[Número]],SAMC!A:F,6,0)</f>
        <v>Aguardando Planejamento</v>
      </c>
      <c r="E163" s="7">
        <v>0</v>
      </c>
      <c r="F163" s="7">
        <v>0</v>
      </c>
      <c r="G163" s="8">
        <f>Tabela1[[#This Row],[Valor Global]]-Tabela1[[#This Row],[Faturado Acumulado]]</f>
        <v>0</v>
      </c>
      <c r="H163" s="6" t="str">
        <f>VLOOKUP(Tabela1[[#This Row],[Número]],SAMC!A:F,4,0)</f>
        <v>Elétrica e Instrumentação</v>
      </c>
      <c r="I163" s="1" t="str">
        <f>VLOOKUP(Tabela1[[#This Row],[Número]],SAMC!A:F,3,0)</f>
        <v>Elétrica e Instrumentação- Betim</v>
      </c>
      <c r="J163" s="28"/>
      <c r="K163" s="28"/>
    </row>
    <row r="164" spans="1:11" s="19" customFormat="1" x14ac:dyDescent="0.35">
      <c r="A164" s="12" t="s">
        <v>825</v>
      </c>
      <c r="B164" s="1" t="s">
        <v>826</v>
      </c>
      <c r="C164" s="6" t="s">
        <v>72</v>
      </c>
      <c r="D164" s="6" t="str">
        <f>VLOOKUP(Tabela1[[#This Row],[Número]],SAMC!A:F,6,0)</f>
        <v>Aguardando Aprovação</v>
      </c>
      <c r="E164" s="7">
        <v>166177.79999999999</v>
      </c>
      <c r="F164" s="7">
        <v>0</v>
      </c>
      <c r="G164" s="8">
        <f>Tabela1[[#This Row],[Valor Global]]-Tabela1[[#This Row],[Faturado Acumulado]]</f>
        <v>166177.79999999999</v>
      </c>
      <c r="H164" s="6" t="str">
        <f>VLOOKUP(Tabela1[[#This Row],[Número]],SAMC!A:F,4,0)</f>
        <v>Elaboração de projeto</v>
      </c>
      <c r="I164" s="1" t="str">
        <f>VLOOKUP(Tabela1[[#This Row],[Número]],SAMC!A:F,3,0)</f>
        <v>Civil (projeto e manutenção civil) - Betim</v>
      </c>
      <c r="J164" s="28"/>
      <c r="K164" s="28"/>
    </row>
    <row r="165" spans="1:11" s="19" customFormat="1" x14ac:dyDescent="0.35">
      <c r="A165" s="12" t="s">
        <v>823</v>
      </c>
      <c r="B165" s="1" t="s">
        <v>824</v>
      </c>
      <c r="C165" s="6" t="s">
        <v>72</v>
      </c>
      <c r="D165" s="6" t="str">
        <f>VLOOKUP(Tabela1[[#This Row],[Número]],SAMC!A:F,6,0)</f>
        <v>Aguardando Planejamento</v>
      </c>
      <c r="E165" s="7">
        <v>0</v>
      </c>
      <c r="F165" s="7">
        <v>0</v>
      </c>
      <c r="G165" s="8">
        <f>Tabela1[[#This Row],[Valor Global]]-Tabela1[[#This Row],[Faturado Acumulado]]</f>
        <v>0</v>
      </c>
      <c r="H165" s="6" t="str">
        <f>VLOOKUP(Tabela1[[#This Row],[Número]],SAMC!A:F,4,0)</f>
        <v>Elétrica e Instrumentação</v>
      </c>
      <c r="I165" s="1" t="str">
        <f>VLOOKUP(Tabela1[[#This Row],[Número]],SAMC!A:F,3,0)</f>
        <v>Elétrica e Instrumentação- Betim</v>
      </c>
      <c r="J165" s="28"/>
      <c r="K165" s="28"/>
    </row>
    <row r="166" spans="1:11" s="19" customFormat="1" x14ac:dyDescent="0.35">
      <c r="A166" s="12" t="s">
        <v>821</v>
      </c>
      <c r="B166" s="1" t="s">
        <v>822</v>
      </c>
      <c r="C166" s="6" t="s">
        <v>73</v>
      </c>
      <c r="D166" s="6" t="str">
        <f>VLOOKUP(Tabela1[[#This Row],[Número]],SAMC!A:F,6,0)</f>
        <v>Encaminhado p/ o fornecedor</v>
      </c>
      <c r="E166" s="7">
        <v>24058.73</v>
      </c>
      <c r="F166" s="7">
        <v>0</v>
      </c>
      <c r="G166" s="8">
        <f>Tabela1[[#This Row],[Valor Global]]-Tabela1[[#This Row],[Faturado Acumulado]]</f>
        <v>24058.73</v>
      </c>
      <c r="H166" s="6" t="str">
        <f>VLOOKUP(Tabela1[[#This Row],[Número]],SAMC!A:F,4,0)</f>
        <v>Mecânica e Caldeiraria</v>
      </c>
      <c r="I166" s="1" t="str">
        <f>VLOOKUP(Tabela1[[#This Row],[Número]],SAMC!A:F,3,0)</f>
        <v>Mecânica - Betim</v>
      </c>
      <c r="J166" s="28"/>
      <c r="K166" s="28"/>
    </row>
    <row r="167" spans="1:11" s="19" customFormat="1" x14ac:dyDescent="0.35">
      <c r="A167" s="12" t="s">
        <v>819</v>
      </c>
      <c r="B167" s="1" t="s">
        <v>820</v>
      </c>
      <c r="C167" s="6" t="s">
        <v>72</v>
      </c>
      <c r="D167" s="6" t="str">
        <f>VLOOKUP(Tabela1[[#This Row],[Número]],SAMC!A:F,6,0)</f>
        <v>Aguardando classif contabil</v>
      </c>
      <c r="E167" s="7">
        <v>14805.22</v>
      </c>
      <c r="F167" s="7">
        <v>0</v>
      </c>
      <c r="G167" s="8">
        <f>Tabela1[[#This Row],[Valor Global]]-Tabela1[[#This Row],[Faturado Acumulado]]</f>
        <v>14805.22</v>
      </c>
      <c r="H167" s="6" t="str">
        <f>VLOOKUP(Tabela1[[#This Row],[Número]],SAMC!A:F,4,0)</f>
        <v>Civil</v>
      </c>
      <c r="I167" s="1" t="str">
        <f>VLOOKUP(Tabela1[[#This Row],[Número]],SAMC!A:F,3,0)</f>
        <v>Civil (projeto e manutenção civil) - Betim</v>
      </c>
      <c r="J167" s="28"/>
      <c r="K167" s="28"/>
    </row>
    <row r="168" spans="1:11" s="19" customFormat="1" x14ac:dyDescent="0.35">
      <c r="A168" s="12" t="s">
        <v>817</v>
      </c>
      <c r="B168" s="1" t="s">
        <v>818</v>
      </c>
      <c r="C168" s="6" t="s">
        <v>72</v>
      </c>
      <c r="D168" s="6" t="str">
        <f>VLOOKUP(Tabela1[[#This Row],[Número]],SAMC!A:F,6,0)</f>
        <v>Aguardando classif contabil</v>
      </c>
      <c r="E168" s="7">
        <v>110819.1</v>
      </c>
      <c r="F168" s="7">
        <v>0</v>
      </c>
      <c r="G168" s="8">
        <f>Tabela1[[#This Row],[Valor Global]]-Tabela1[[#This Row],[Faturado Acumulado]]</f>
        <v>110819.1</v>
      </c>
      <c r="H168" s="6" t="str">
        <f>VLOOKUP(Tabela1[[#This Row],[Número]],SAMC!A:F,4,0)</f>
        <v>Elaboração de projeto</v>
      </c>
      <c r="I168" s="1" t="str">
        <f>VLOOKUP(Tabela1[[#This Row],[Número]],SAMC!A:F,3,0)</f>
        <v>Civil (projeto e manutenção civil) - Betim</v>
      </c>
      <c r="J168" s="28"/>
      <c r="K168" s="28"/>
    </row>
    <row r="169" spans="1:11" s="19" customFormat="1" x14ac:dyDescent="0.35">
      <c r="A169" s="12" t="s">
        <v>815</v>
      </c>
      <c r="B169" s="1" t="s">
        <v>816</v>
      </c>
      <c r="C169" s="6" t="s">
        <v>72</v>
      </c>
      <c r="D169" s="6" t="str">
        <f>VLOOKUP(Tabela1[[#This Row],[Número]],SAMC!A:F,6,0)</f>
        <v>Aguardando Aprovação</v>
      </c>
      <c r="E169" s="7">
        <v>40682.879999999997</v>
      </c>
      <c r="F169" s="7">
        <v>0</v>
      </c>
      <c r="G169" s="8">
        <f>Tabela1[[#This Row],[Valor Global]]-Tabela1[[#This Row],[Faturado Acumulado]]</f>
        <v>40682.879999999997</v>
      </c>
      <c r="H169" s="6" t="str">
        <f>VLOOKUP(Tabela1[[#This Row],[Número]],SAMC!A:F,4,0)</f>
        <v>Civil</v>
      </c>
      <c r="I169" s="1" t="str">
        <f>VLOOKUP(Tabela1[[#This Row],[Número]],SAMC!A:F,3,0)</f>
        <v>Civil (projeto e manutenção civil) - Betim</v>
      </c>
      <c r="J169" s="28"/>
      <c r="K169" s="28"/>
    </row>
    <row r="170" spans="1:11" s="19" customFormat="1" x14ac:dyDescent="0.35">
      <c r="A170" s="12" t="s">
        <v>813</v>
      </c>
      <c r="B170" s="1" t="s">
        <v>814</v>
      </c>
      <c r="C170" s="6" t="s">
        <v>72</v>
      </c>
      <c r="D170" s="6" t="str">
        <f>VLOOKUP(Tabela1[[#This Row],[Número]],SAMC!A:F,6,0)</f>
        <v>Aguardando classif contabil</v>
      </c>
      <c r="E170" s="7">
        <v>2023.17</v>
      </c>
      <c r="F170" s="7">
        <v>0</v>
      </c>
      <c r="G170" s="8">
        <f>Tabela1[[#This Row],[Valor Global]]-Tabela1[[#This Row],[Faturado Acumulado]]</f>
        <v>2023.17</v>
      </c>
      <c r="H170" s="6" t="str">
        <f>VLOOKUP(Tabela1[[#This Row],[Número]],SAMC!A:F,4,0)</f>
        <v>Civil</v>
      </c>
      <c r="I170" s="1" t="str">
        <f>VLOOKUP(Tabela1[[#This Row],[Número]],SAMC!A:F,3,0)</f>
        <v>Civil (projeto e manutenção civil) - Betim</v>
      </c>
      <c r="J170" s="28"/>
      <c r="K170" s="28"/>
    </row>
    <row r="171" spans="1:11" s="19" customFormat="1" x14ac:dyDescent="0.35">
      <c r="A171" s="12" t="s">
        <v>811</v>
      </c>
      <c r="B171" s="1" t="s">
        <v>812</v>
      </c>
      <c r="C171" s="6" t="s">
        <v>72</v>
      </c>
      <c r="D171" s="6" t="str">
        <f>VLOOKUP(Tabela1[[#This Row],[Número]],SAMC!A:F,6,0)</f>
        <v>Aguardando Planejamento</v>
      </c>
      <c r="E171" s="7">
        <v>0</v>
      </c>
      <c r="F171" s="7">
        <v>0</v>
      </c>
      <c r="G171" s="8">
        <f>Tabela1[[#This Row],[Valor Global]]-Tabela1[[#This Row],[Faturado Acumulado]]</f>
        <v>0</v>
      </c>
      <c r="H171" s="6" t="str">
        <f>VLOOKUP(Tabela1[[#This Row],[Número]],SAMC!A:F,4,0)</f>
        <v>Civil</v>
      </c>
      <c r="I171" s="1" t="str">
        <f>VLOOKUP(Tabela1[[#This Row],[Número]],SAMC!A:F,3,0)</f>
        <v>Civil (projeto e manutenção civil) - Betim</v>
      </c>
      <c r="J171" s="28"/>
      <c r="K171" s="28"/>
    </row>
    <row r="172" spans="1:11" s="19" customFormat="1" x14ac:dyDescent="0.35">
      <c r="A172" s="12" t="s">
        <v>809</v>
      </c>
      <c r="B172" s="1" t="s">
        <v>810</v>
      </c>
      <c r="C172" s="6" t="s">
        <v>73</v>
      </c>
      <c r="D172" s="6" t="str">
        <f>VLOOKUP(Tabela1[[#This Row],[Número]],SAMC!A:F,6,0)</f>
        <v>Aguardando Planejamento</v>
      </c>
      <c r="E172" s="7">
        <v>0</v>
      </c>
      <c r="F172" s="7">
        <v>0</v>
      </c>
      <c r="G172" s="8">
        <f>Tabela1[[#This Row],[Valor Global]]-Tabela1[[#This Row],[Faturado Acumulado]]</f>
        <v>0</v>
      </c>
      <c r="H172" s="6" t="str">
        <f>VLOOKUP(Tabela1[[#This Row],[Número]],SAMC!A:F,4,0)</f>
        <v>Revenda Materiais</v>
      </c>
      <c r="I172" s="1" t="str">
        <f>VLOOKUP(Tabela1[[#This Row],[Número]],SAMC!A:F,3,0)</f>
        <v>Receber Materiais - Regap-Betim</v>
      </c>
      <c r="J172" s="28"/>
      <c r="K172" s="28"/>
    </row>
    <row r="173" spans="1:11" s="19" customFormat="1" x14ac:dyDescent="0.35">
      <c r="A173" s="12" t="s">
        <v>807</v>
      </c>
      <c r="B173" s="1" t="s">
        <v>808</v>
      </c>
      <c r="C173" s="6" t="s">
        <v>73</v>
      </c>
      <c r="D173" s="6" t="str">
        <f>VLOOKUP(Tabela1[[#This Row],[Número]],SAMC!A:F,6,0)</f>
        <v>Aguardando Planejamento</v>
      </c>
      <c r="E173" s="7">
        <v>0</v>
      </c>
      <c r="F173" s="7">
        <v>0</v>
      </c>
      <c r="G173" s="8">
        <f>Tabela1[[#This Row],[Valor Global]]-Tabela1[[#This Row],[Faturado Acumulado]]</f>
        <v>0</v>
      </c>
      <c r="H173" s="6" t="str">
        <f>VLOOKUP(Tabela1[[#This Row],[Número]],SAMC!A:F,4,0)</f>
        <v>Mecânica e Caldeiraria</v>
      </c>
      <c r="I173" s="1" t="str">
        <f>VLOOKUP(Tabela1[[#This Row],[Número]],SAMC!A:F,3,0)</f>
        <v>Mecânica - Betim</v>
      </c>
      <c r="J173" s="28"/>
      <c r="K173" s="28"/>
    </row>
    <row r="174" spans="1:11" s="19" customFormat="1" x14ac:dyDescent="0.35">
      <c r="A174" s="12" t="s">
        <v>805</v>
      </c>
      <c r="B174" s="1" t="s">
        <v>806</v>
      </c>
      <c r="C174" s="6" t="s">
        <v>73</v>
      </c>
      <c r="D174" s="6" t="str">
        <f>VLOOKUP(Tabela1[[#This Row],[Número]],SAMC!A:F,6,0)</f>
        <v>Aguardando Planejamento</v>
      </c>
      <c r="E174" s="7">
        <v>0</v>
      </c>
      <c r="F174" s="7">
        <v>0</v>
      </c>
      <c r="G174" s="8">
        <f>Tabela1[[#This Row],[Valor Global]]-Tabela1[[#This Row],[Faturado Acumulado]]</f>
        <v>0</v>
      </c>
      <c r="H174" s="6" t="str">
        <f>VLOOKUP(Tabela1[[#This Row],[Número]],SAMC!A:F,4,0)</f>
        <v>Mecânica e Caldeiraria</v>
      </c>
      <c r="I174" s="1" t="str">
        <f>VLOOKUP(Tabela1[[#This Row],[Número]],SAMC!A:F,3,0)</f>
        <v>Mecânica - Betim</v>
      </c>
      <c r="J174" s="28"/>
      <c r="K174" s="28"/>
    </row>
    <row r="175" spans="1:11" s="19" customFormat="1" x14ac:dyDescent="0.35">
      <c r="A175" s="12" t="s">
        <v>803</v>
      </c>
      <c r="B175" s="1" t="s">
        <v>804</v>
      </c>
      <c r="C175" s="6" t="s">
        <v>73</v>
      </c>
      <c r="D175" s="6" t="str">
        <f>VLOOKUP(Tabela1[[#This Row],[Número]],SAMC!A:F,6,0)</f>
        <v>Aguardando classif contabil</v>
      </c>
      <c r="E175" s="7">
        <v>8676.83</v>
      </c>
      <c r="F175" s="7">
        <v>0</v>
      </c>
      <c r="G175" s="8">
        <f>Tabela1[[#This Row],[Valor Global]]-Tabela1[[#This Row],[Faturado Acumulado]]</f>
        <v>8676.83</v>
      </c>
      <c r="H175" s="6" t="str">
        <f>VLOOKUP(Tabela1[[#This Row],[Número]],SAMC!A:F,4,0)</f>
        <v>Revenda Materiais</v>
      </c>
      <c r="I175" s="1" t="str">
        <f>VLOOKUP(Tabela1[[#This Row],[Número]],SAMC!A:F,3,0)</f>
        <v>Receber Materiais - Regap-Betim</v>
      </c>
      <c r="J175" s="28"/>
      <c r="K175" s="28"/>
    </row>
    <row r="176" spans="1:11" s="19" customFormat="1" x14ac:dyDescent="0.35">
      <c r="A176" s="12" t="s">
        <v>801</v>
      </c>
      <c r="B176" s="1" t="s">
        <v>802</v>
      </c>
      <c r="C176" s="6" t="s">
        <v>73</v>
      </c>
      <c r="D176" s="6" t="str">
        <f>VLOOKUP(Tabela1[[#This Row],[Número]],SAMC!A:F,6,0)</f>
        <v>Aguardando classif contabil</v>
      </c>
      <c r="E176" s="7">
        <v>166529.15</v>
      </c>
      <c r="F176" s="7">
        <v>0</v>
      </c>
      <c r="G176" s="8">
        <f>Tabela1[[#This Row],[Valor Global]]-Tabela1[[#This Row],[Faturado Acumulado]]</f>
        <v>166529.15</v>
      </c>
      <c r="H176" s="6" t="str">
        <f>VLOOKUP(Tabela1[[#This Row],[Número]],SAMC!A:F,4,0)</f>
        <v>Mecânica e Caldeiraria</v>
      </c>
      <c r="I176" s="1" t="str">
        <f>VLOOKUP(Tabela1[[#This Row],[Número]],SAMC!A:F,3,0)</f>
        <v>Mecânica - Betim</v>
      </c>
      <c r="J176" s="28"/>
      <c r="K176" s="28"/>
    </row>
    <row r="177" spans="1:11" s="19" customFormat="1" x14ac:dyDescent="0.35">
      <c r="A177" s="12" t="s">
        <v>799</v>
      </c>
      <c r="B177" s="1" t="s">
        <v>800</v>
      </c>
      <c r="C177" s="6" t="s">
        <v>73</v>
      </c>
      <c r="D177" s="6" t="str">
        <f>VLOOKUP(Tabela1[[#This Row],[Número]],SAMC!A:F,6,0)</f>
        <v>Aguardando classif contabil</v>
      </c>
      <c r="E177" s="7">
        <v>230992.62</v>
      </c>
      <c r="F177" s="7">
        <v>0</v>
      </c>
      <c r="G177" s="8">
        <f>Tabela1[[#This Row],[Valor Global]]-Tabela1[[#This Row],[Faturado Acumulado]]</f>
        <v>230992.62</v>
      </c>
      <c r="H177" s="6" t="str">
        <f>VLOOKUP(Tabela1[[#This Row],[Número]],SAMC!A:F,4,0)</f>
        <v>Mecânica e Caldeiraria</v>
      </c>
      <c r="I177" s="1" t="str">
        <f>VLOOKUP(Tabela1[[#This Row],[Número]],SAMC!A:F,3,0)</f>
        <v>Mecânica - Betim</v>
      </c>
      <c r="J177" s="28"/>
      <c r="K177" s="28"/>
    </row>
    <row r="178" spans="1:11" s="19" customFormat="1" x14ac:dyDescent="0.35">
      <c r="A178" s="12" t="s">
        <v>797</v>
      </c>
      <c r="B178" s="1" t="s">
        <v>798</v>
      </c>
      <c r="C178" s="6" t="s">
        <v>73</v>
      </c>
      <c r="D178" s="6" t="str">
        <f>VLOOKUP(Tabela1[[#This Row],[Número]],SAMC!A:F,6,0)</f>
        <v>Aguardando classif contabil</v>
      </c>
      <c r="E178" s="7">
        <v>8676.83</v>
      </c>
      <c r="F178" s="7">
        <v>0</v>
      </c>
      <c r="G178" s="8">
        <f>Tabela1[[#This Row],[Valor Global]]-Tabela1[[#This Row],[Faturado Acumulado]]</f>
        <v>8676.83</v>
      </c>
      <c r="H178" s="6" t="str">
        <f>VLOOKUP(Tabela1[[#This Row],[Número]],SAMC!A:F,4,0)</f>
        <v>Revenda Materiais</v>
      </c>
      <c r="I178" s="1" t="str">
        <f>VLOOKUP(Tabela1[[#This Row],[Número]],SAMC!A:F,3,0)</f>
        <v>Receber Materiais - Regap-Betim</v>
      </c>
      <c r="J178" s="28"/>
      <c r="K178" s="28"/>
    </row>
    <row r="179" spans="1:11" s="19" customFormat="1" x14ac:dyDescent="0.35">
      <c r="A179" s="12" t="s">
        <v>796</v>
      </c>
      <c r="B179" s="1" t="s">
        <v>795</v>
      </c>
      <c r="C179" s="6" t="s">
        <v>73</v>
      </c>
      <c r="D179" s="6" t="str">
        <f>VLOOKUP(Tabela1[[#This Row],[Número]],SAMC!A:F,6,0)</f>
        <v>Aguardando classif contabil</v>
      </c>
      <c r="E179" s="7">
        <v>55081.67</v>
      </c>
      <c r="F179" s="7">
        <v>0</v>
      </c>
      <c r="G179" s="8">
        <f>Tabela1[[#This Row],[Valor Global]]-Tabela1[[#This Row],[Faturado Acumulado]]</f>
        <v>55081.67</v>
      </c>
      <c r="H179" s="6" t="str">
        <f>VLOOKUP(Tabela1[[#This Row],[Número]],SAMC!A:F,4,0)</f>
        <v>Mecânica e Caldeiraria</v>
      </c>
      <c r="I179" s="1" t="str">
        <f>VLOOKUP(Tabela1[[#This Row],[Número]],SAMC!A:F,3,0)</f>
        <v>Mecânica - Betim</v>
      </c>
      <c r="J179" s="28"/>
      <c r="K179" s="28"/>
    </row>
    <row r="180" spans="1:11" s="19" customFormat="1" x14ac:dyDescent="0.35">
      <c r="A180" s="12" t="s">
        <v>794</v>
      </c>
      <c r="B180" s="1" t="s">
        <v>795</v>
      </c>
      <c r="C180" s="6" t="s">
        <v>73</v>
      </c>
      <c r="D180" s="6" t="str">
        <f>VLOOKUP(Tabela1[[#This Row],[Número]],SAMC!A:F,6,0)</f>
        <v>Aguardando classif contabil</v>
      </c>
      <c r="E180" s="7">
        <v>80324.070000000007</v>
      </c>
      <c r="F180" s="7">
        <v>0</v>
      </c>
      <c r="G180" s="8">
        <f>Tabela1[[#This Row],[Valor Global]]-Tabela1[[#This Row],[Faturado Acumulado]]</f>
        <v>80324.070000000007</v>
      </c>
      <c r="H180" s="6" t="str">
        <f>VLOOKUP(Tabela1[[#This Row],[Número]],SAMC!A:F,4,0)</f>
        <v>Mecânica e Caldeiraria</v>
      </c>
      <c r="I180" s="1" t="str">
        <f>VLOOKUP(Tabela1[[#This Row],[Número]],SAMC!A:F,3,0)</f>
        <v>Mecânica - Betim</v>
      </c>
      <c r="J180" s="28"/>
      <c r="K180" s="28"/>
    </row>
    <row r="181" spans="1:11" s="19" customFormat="1" x14ac:dyDescent="0.35">
      <c r="A181" s="12" t="s">
        <v>792</v>
      </c>
      <c r="B181" s="1" t="s">
        <v>793</v>
      </c>
      <c r="C181" s="6" t="s">
        <v>73</v>
      </c>
      <c r="D181" s="6" t="str">
        <f>VLOOKUP(Tabela1[[#This Row],[Número]],SAMC!A:F,6,0)</f>
        <v>Aguardando classif contabil</v>
      </c>
      <c r="E181" s="7">
        <v>214915.61</v>
      </c>
      <c r="F181" s="7">
        <v>0</v>
      </c>
      <c r="G181" s="8">
        <f>Tabela1[[#This Row],[Valor Global]]-Tabela1[[#This Row],[Faturado Acumulado]]</f>
        <v>214915.61</v>
      </c>
      <c r="H181" s="6" t="str">
        <f>VLOOKUP(Tabela1[[#This Row],[Número]],SAMC!A:F,4,0)</f>
        <v>Revenda Materiais</v>
      </c>
      <c r="I181" s="1" t="str">
        <f>VLOOKUP(Tabela1[[#This Row],[Número]],SAMC!A:F,3,0)</f>
        <v>Receber Materiais - Regap-Betim</v>
      </c>
      <c r="J181" s="28"/>
      <c r="K181" s="28"/>
    </row>
    <row r="182" spans="1:11" s="19" customFormat="1" x14ac:dyDescent="0.35">
      <c r="A182" s="12" t="s">
        <v>790</v>
      </c>
      <c r="B182" s="1" t="s">
        <v>791</v>
      </c>
      <c r="C182" s="6" t="s">
        <v>73</v>
      </c>
      <c r="D182" s="6" t="str">
        <f>VLOOKUP(Tabela1[[#This Row],[Número]],SAMC!A:F,6,0)</f>
        <v>Aguardando classif contabil</v>
      </c>
      <c r="E182" s="7">
        <v>316330.82</v>
      </c>
      <c r="F182" s="7">
        <v>0</v>
      </c>
      <c r="G182" s="8">
        <f>Tabela1[[#This Row],[Valor Global]]-Tabela1[[#This Row],[Faturado Acumulado]]</f>
        <v>316330.82</v>
      </c>
      <c r="H182" s="6" t="str">
        <f>VLOOKUP(Tabela1[[#This Row],[Número]],SAMC!A:F,4,0)</f>
        <v>Mecânica e Caldeiraria</v>
      </c>
      <c r="I182" s="1" t="str">
        <f>VLOOKUP(Tabela1[[#This Row],[Número]],SAMC!A:F,3,0)</f>
        <v>Mecânica - Betim</v>
      </c>
      <c r="J182" s="28"/>
      <c r="K182" s="28"/>
    </row>
    <row r="183" spans="1:11" s="19" customFormat="1" x14ac:dyDescent="0.35">
      <c r="A183" s="12" t="s">
        <v>788</v>
      </c>
      <c r="B183" s="1" t="s">
        <v>789</v>
      </c>
      <c r="C183" s="6" t="s">
        <v>73</v>
      </c>
      <c r="D183" s="6" t="str">
        <f>VLOOKUP(Tabela1[[#This Row],[Número]],SAMC!A:F,6,0)</f>
        <v>Aguardando classif contabil</v>
      </c>
      <c r="E183" s="7">
        <v>464640.52</v>
      </c>
      <c r="F183" s="7">
        <v>0</v>
      </c>
      <c r="G183" s="8">
        <f>Tabela1[[#This Row],[Valor Global]]-Tabela1[[#This Row],[Faturado Acumulado]]</f>
        <v>464640.52</v>
      </c>
      <c r="H183" s="6" t="str">
        <f>VLOOKUP(Tabela1[[#This Row],[Número]],SAMC!A:F,4,0)</f>
        <v>Mecânica e Caldeiraria</v>
      </c>
      <c r="I183" s="1" t="str">
        <f>VLOOKUP(Tabela1[[#This Row],[Número]],SAMC!A:F,3,0)</f>
        <v>Mecânica - Betim</v>
      </c>
      <c r="J183" s="28"/>
      <c r="K183" s="28"/>
    </row>
    <row r="184" spans="1:11" s="19" customFormat="1" x14ac:dyDescent="0.35">
      <c r="A184" s="12" t="s">
        <v>786</v>
      </c>
      <c r="B184" s="1" t="s">
        <v>787</v>
      </c>
      <c r="C184" s="6" t="s">
        <v>73</v>
      </c>
      <c r="D184" s="6" t="str">
        <f>VLOOKUP(Tabela1[[#This Row],[Número]],SAMC!A:F,6,0)</f>
        <v>Aguardando classif contabil</v>
      </c>
      <c r="E184" s="7">
        <v>980585.5176438198</v>
      </c>
      <c r="F184" s="7">
        <v>0</v>
      </c>
      <c r="G184" s="8">
        <f>Tabela1[[#This Row],[Valor Global]]-Tabela1[[#This Row],[Faturado Acumulado]]</f>
        <v>980585.5176438198</v>
      </c>
      <c r="H184" s="6" t="str">
        <f>VLOOKUP(Tabela1[[#This Row],[Número]],SAMC!A:F,4,0)</f>
        <v>Revenda Materiais</v>
      </c>
      <c r="I184" s="1" t="str">
        <f>VLOOKUP(Tabela1[[#This Row],[Número]],SAMC!A:F,3,0)</f>
        <v>Receber Materiais - Regap-Betim</v>
      </c>
      <c r="J184" s="28"/>
      <c r="K184" s="28"/>
    </row>
    <row r="185" spans="1:11" s="19" customFormat="1" x14ac:dyDescent="0.35">
      <c r="A185" s="12" t="s">
        <v>784</v>
      </c>
      <c r="B185" s="1" t="s">
        <v>785</v>
      </c>
      <c r="C185" s="6" t="s">
        <v>73</v>
      </c>
      <c r="D185" s="2" t="str">
        <f>VLOOKUP(Tabela1[[#This Row],[Número]],SAMC!A:F,6,0)</f>
        <v>Aguardando Planejamento</v>
      </c>
      <c r="E185" s="7">
        <v>0</v>
      </c>
      <c r="F185" s="7">
        <v>0</v>
      </c>
      <c r="G185" s="8">
        <f>Tabela1[[#This Row],[Valor Global]]-Tabela1[[#This Row],[Faturado Acumulado]]</f>
        <v>0</v>
      </c>
      <c r="H185" s="6" t="str">
        <f>VLOOKUP(Tabela1[[#This Row],[Número]],SAMC!A:F,4,0)</f>
        <v>Mecânica e Caldeiraria</v>
      </c>
      <c r="I185" s="1" t="str">
        <f>VLOOKUP(Tabela1[[#This Row],[Número]],SAMC!A:F,3,0)</f>
        <v>Mecânica - Betim</v>
      </c>
      <c r="J185" s="28"/>
      <c r="K185" s="28"/>
    </row>
    <row r="186" spans="1:11" s="19" customFormat="1" x14ac:dyDescent="0.35">
      <c r="A186" s="12" t="s">
        <v>782</v>
      </c>
      <c r="B186" s="1" t="s">
        <v>783</v>
      </c>
      <c r="C186" s="6" t="s">
        <v>73</v>
      </c>
      <c r="D186" s="2" t="str">
        <f>VLOOKUP(Tabela1[[#This Row],[Número]],SAMC!A:F,6,0)</f>
        <v>Aguardando Planejamento</v>
      </c>
      <c r="E186" s="7">
        <v>0</v>
      </c>
      <c r="F186" s="7">
        <v>0</v>
      </c>
      <c r="G186" s="8">
        <f>Tabela1[[#This Row],[Valor Global]]-Tabela1[[#This Row],[Faturado Acumulado]]</f>
        <v>0</v>
      </c>
      <c r="H186" s="6" t="str">
        <f>VLOOKUP(Tabela1[[#This Row],[Número]],SAMC!A:F,4,0)</f>
        <v>Mecânica e Caldeiraria</v>
      </c>
      <c r="I186" s="1" t="str">
        <f>VLOOKUP(Tabela1[[#This Row],[Número]],SAMC!A:F,3,0)</f>
        <v>Mecânica - Betim</v>
      </c>
      <c r="J186" s="28"/>
      <c r="K186" s="28"/>
    </row>
    <row r="187" spans="1:11" s="19" customFormat="1" x14ac:dyDescent="0.35">
      <c r="A187" s="12" t="s">
        <v>780</v>
      </c>
      <c r="B187" s="1" t="s">
        <v>781</v>
      </c>
      <c r="C187" s="6" t="s">
        <v>73</v>
      </c>
      <c r="D187" s="2" t="str">
        <f>VLOOKUP(Tabela1[[#This Row],[Número]],SAMC!A:F,6,0)</f>
        <v>Aguardando Planejamento</v>
      </c>
      <c r="E187" s="7">
        <v>0</v>
      </c>
      <c r="F187" s="7">
        <v>0</v>
      </c>
      <c r="G187" s="8">
        <f>Tabela1[[#This Row],[Valor Global]]-Tabela1[[#This Row],[Faturado Acumulado]]</f>
        <v>0</v>
      </c>
      <c r="H187" s="6" t="str">
        <f>VLOOKUP(Tabela1[[#This Row],[Número]],SAMC!A:F,4,0)</f>
        <v>Revenda Materiais</v>
      </c>
      <c r="I187" s="1" t="str">
        <f>VLOOKUP(Tabela1[[#This Row],[Número]],SAMC!A:F,3,0)</f>
        <v>Receber Materiais - Regap-Betim</v>
      </c>
      <c r="J187" s="28"/>
      <c r="K187" s="28"/>
    </row>
    <row r="188" spans="1:11" s="19" customFormat="1" x14ac:dyDescent="0.35">
      <c r="A188" s="12" t="s">
        <v>778</v>
      </c>
      <c r="B188" s="1" t="s">
        <v>779</v>
      </c>
      <c r="C188" s="6" t="s">
        <v>73</v>
      </c>
      <c r="D188" s="2" t="str">
        <f>VLOOKUP(Tabela1[[#This Row],[Número]],SAMC!A:F,6,0)</f>
        <v>Aguardando Planejamento</v>
      </c>
      <c r="E188" s="7">
        <v>0</v>
      </c>
      <c r="F188" s="7">
        <v>0</v>
      </c>
      <c r="G188" s="8">
        <f>Tabela1[[#This Row],[Valor Global]]-Tabela1[[#This Row],[Faturado Acumulado]]</f>
        <v>0</v>
      </c>
      <c r="H188" s="6" t="str">
        <f>VLOOKUP(Tabela1[[#This Row],[Número]],SAMC!A:F,4,0)</f>
        <v>Elétrica e Instrumentação</v>
      </c>
      <c r="I188" s="1" t="str">
        <f>VLOOKUP(Tabela1[[#This Row],[Número]],SAMC!A:F,3,0)</f>
        <v>Elétrica e Instrumentação- Betim</v>
      </c>
      <c r="J188" s="28"/>
      <c r="K188" s="28"/>
    </row>
    <row r="189" spans="1:11" s="19" customFormat="1" x14ac:dyDescent="0.35">
      <c r="A189" s="12" t="s">
        <v>776</v>
      </c>
      <c r="B189" s="1" t="s">
        <v>777</v>
      </c>
      <c r="C189" s="6" t="s">
        <v>73</v>
      </c>
      <c r="D189" s="2" t="str">
        <f>VLOOKUP(Tabela1[[#This Row],[Número]],SAMC!A:F,6,0)</f>
        <v>Aguardando Planejamento</v>
      </c>
      <c r="E189" s="7">
        <v>0</v>
      </c>
      <c r="F189" s="7">
        <v>0</v>
      </c>
      <c r="G189" s="8">
        <f>Tabela1[[#This Row],[Valor Global]]-Tabela1[[#This Row],[Faturado Acumulado]]</f>
        <v>0</v>
      </c>
      <c r="H189" s="6" t="str">
        <f>VLOOKUP(Tabela1[[#This Row],[Número]],SAMC!A:F,4,0)</f>
        <v>Revenda Materiais</v>
      </c>
      <c r="I189" s="1" t="str">
        <f>VLOOKUP(Tabela1[[#This Row],[Número]],SAMC!A:F,3,0)</f>
        <v>Receber Materiais - Regap-Betim</v>
      </c>
      <c r="J189" s="28"/>
      <c r="K189" s="28"/>
    </row>
    <row r="190" spans="1:11" s="19" customFormat="1" x14ac:dyDescent="0.35">
      <c r="A190" s="29" t="s">
        <v>774</v>
      </c>
      <c r="B190" s="1" t="s">
        <v>775</v>
      </c>
      <c r="C190" s="6" t="s">
        <v>72</v>
      </c>
      <c r="D190" s="2" t="str">
        <f>VLOOKUP(Tabela1[[#This Row],[Número]],SAMC!A:F,6,0)</f>
        <v>Aguardando classif contabil</v>
      </c>
      <c r="E190" s="7">
        <v>653388.6</v>
      </c>
      <c r="F190" s="7">
        <v>0</v>
      </c>
      <c r="G190" s="8">
        <f>Tabela1[[#This Row],[Valor Global]]-Tabela1[[#This Row],[Faturado Acumulado]]</f>
        <v>653388.6</v>
      </c>
      <c r="H190" s="6" t="str">
        <f>VLOOKUP(Tabela1[[#This Row],[Número]],SAMC!A:F,4,0)</f>
        <v>Civil</v>
      </c>
      <c r="I190" s="1" t="str">
        <f>VLOOKUP(Tabela1[[#This Row],[Número]],SAMC!A:F,3,0)</f>
        <v>Civil (projeto e manutenção civil) - Betim</v>
      </c>
      <c r="J190" s="28"/>
      <c r="K190" s="28"/>
    </row>
    <row r="191" spans="1:11" s="19" customFormat="1" x14ac:dyDescent="0.35">
      <c r="A191" s="29"/>
      <c r="B191" s="1"/>
      <c r="C191" s="6"/>
      <c r="D191" s="2"/>
      <c r="E191" s="7"/>
      <c r="F191" s="7"/>
      <c r="G191" s="8"/>
      <c r="H191" s="6"/>
      <c r="I191" s="1"/>
      <c r="J191" s="28"/>
      <c r="K191" s="28"/>
    </row>
    <row r="192" spans="1:11" s="19" customFormat="1" x14ac:dyDescent="0.35">
      <c r="A192" s="12"/>
      <c r="B192" s="1"/>
      <c r="C192" s="6"/>
      <c r="D192" s="2"/>
      <c r="E192" s="7"/>
      <c r="F192" s="7"/>
      <c r="G192" s="8"/>
      <c r="H192" s="2"/>
      <c r="I192" s="1"/>
      <c r="J192" s="28"/>
      <c r="K192" s="28"/>
    </row>
    <row r="193" spans="1:11" s="19" customFormat="1" x14ac:dyDescent="0.35">
      <c r="A193" s="12"/>
      <c r="B193" s="1"/>
      <c r="C193" s="6"/>
      <c r="D193" s="2"/>
      <c r="E193" s="7"/>
      <c r="F193" s="7"/>
      <c r="G193" s="8"/>
      <c r="H193" s="6"/>
      <c r="I193" s="1"/>
      <c r="J193" s="28"/>
      <c r="K193" s="28"/>
    </row>
    <row r="194" spans="1:11" s="19" customFormat="1" x14ac:dyDescent="0.35">
      <c r="A194" s="12"/>
      <c r="B194" s="1"/>
      <c r="C194" s="6"/>
      <c r="D194" s="2"/>
      <c r="E194" s="7"/>
      <c r="F194" s="7"/>
      <c r="G194" s="8"/>
      <c r="H194" s="6"/>
      <c r="I194" s="1"/>
      <c r="J194" s="28"/>
      <c r="K194" s="28"/>
    </row>
    <row r="195" spans="1:11" s="19" customFormat="1" x14ac:dyDescent="0.35">
      <c r="A195" s="12"/>
      <c r="B195" s="1"/>
      <c r="C195" s="6"/>
      <c r="D195" s="2"/>
      <c r="E195" s="7"/>
      <c r="F195" s="20"/>
      <c r="G195" s="8"/>
      <c r="H195" s="6"/>
      <c r="I195" s="1"/>
      <c r="J195" s="28"/>
      <c r="K195" s="28"/>
    </row>
    <row r="196" spans="1:11" s="19" customFormat="1" x14ac:dyDescent="0.35">
      <c r="A196" s="12"/>
      <c r="B196" s="1"/>
      <c r="C196" s="6"/>
      <c r="D196" s="2"/>
      <c r="E196" s="7"/>
      <c r="F196" s="7"/>
      <c r="G196" s="8"/>
      <c r="H196" s="6"/>
      <c r="I196" s="1"/>
      <c r="J196" s="28"/>
      <c r="K196" s="28"/>
    </row>
    <row r="197" spans="1:11" s="19" customFormat="1" x14ac:dyDescent="0.35">
      <c r="A197" s="12"/>
      <c r="B197" s="1"/>
      <c r="C197" s="6"/>
      <c r="D197" s="2"/>
      <c r="E197" s="7"/>
      <c r="F197" s="20"/>
      <c r="G197" s="8"/>
      <c r="H197" s="6"/>
      <c r="I197" s="1"/>
      <c r="J197" s="28"/>
      <c r="K197" s="28"/>
    </row>
    <row r="198" spans="1:11" s="19" customFormat="1" x14ac:dyDescent="0.35">
      <c r="A198" s="12"/>
      <c r="B198" s="1"/>
      <c r="C198" s="6"/>
      <c r="D198" s="6"/>
      <c r="E198" s="7"/>
      <c r="F198" s="7"/>
      <c r="G198" s="8"/>
      <c r="H198" s="6"/>
      <c r="I198" s="1"/>
      <c r="J198" s="2"/>
      <c r="K198" s="2"/>
    </row>
    <row r="199" spans="1:11" s="19" customFormat="1" x14ac:dyDescent="0.35">
      <c r="A199" s="12"/>
      <c r="B199" s="1"/>
      <c r="C199" s="6"/>
      <c r="D199" s="6"/>
      <c r="E199" s="119">
        <f>SUM(Tabela1[Valor Global])</f>
        <v>94529688.138724744</v>
      </c>
      <c r="F199" s="119">
        <f>SUM(Tabela1[Faturado Acumulado])</f>
        <v>18680532.878813263</v>
      </c>
      <c r="G199" s="119">
        <f>SUM(Tabela1[Valor Saldo])</f>
        <v>75849155.259911478</v>
      </c>
      <c r="H199" s="6"/>
      <c r="I199" s="1"/>
      <c r="J199" s="2"/>
      <c r="K199" s="2"/>
    </row>
    <row r="200" spans="1:11" s="19" customFormat="1" x14ac:dyDescent="0.35">
      <c r="A200" s="12"/>
      <c r="B200" s="1"/>
      <c r="C200" s="6"/>
      <c r="D200" s="6"/>
      <c r="E200" s="7"/>
      <c r="F200" s="7"/>
      <c r="G200" s="8" t="s">
        <v>349</v>
      </c>
      <c r="H200" s="6"/>
      <c r="I200" s="1"/>
      <c r="J200" s="2"/>
      <c r="K200" s="2"/>
    </row>
    <row r="201" spans="1:11" s="19" customFormat="1" x14ac:dyDescent="0.35">
      <c r="A201" s="12"/>
      <c r="B201" s="1"/>
      <c r="C201" s="6"/>
      <c r="D201" s="6"/>
      <c r="E201" s="7"/>
      <c r="F201" s="20"/>
      <c r="G201" s="8"/>
      <c r="H201" s="6"/>
      <c r="I201" s="1"/>
      <c r="J201" s="2"/>
      <c r="K201" s="2"/>
    </row>
    <row r="202" spans="1:11" s="19" customFormat="1" x14ac:dyDescent="0.35">
      <c r="A202" s="12"/>
      <c r="B202" s="1"/>
      <c r="C202" s="6"/>
      <c r="D202" s="6"/>
      <c r="E202" s="7"/>
      <c r="F202" s="7"/>
      <c r="G202" s="8"/>
      <c r="H202" s="6"/>
      <c r="I202" s="1"/>
      <c r="J202" s="2"/>
      <c r="K202" s="2"/>
    </row>
    <row r="203" spans="1:11" s="19" customFormat="1" x14ac:dyDescent="0.35">
      <c r="A203" s="12"/>
      <c r="B203" s="1"/>
      <c r="C203" s="6"/>
      <c r="D203" s="6"/>
      <c r="E203" s="7"/>
      <c r="F203" s="20"/>
      <c r="G203" s="8"/>
      <c r="H203" s="6"/>
      <c r="I203" s="1"/>
      <c r="J203" s="2"/>
      <c r="K203" s="2"/>
    </row>
    <row r="204" spans="1:11" s="19" customFormat="1" x14ac:dyDescent="0.35">
      <c r="A204" s="12"/>
      <c r="B204" s="1"/>
      <c r="C204" s="6"/>
      <c r="D204" s="6"/>
      <c r="E204" s="7"/>
      <c r="F204" s="7"/>
      <c r="G204" s="8"/>
      <c r="H204" s="6"/>
      <c r="I204" s="1"/>
      <c r="J204" s="2"/>
      <c r="K204" s="2"/>
    </row>
  </sheetData>
  <phoneticPr fontId="9" type="noConversion"/>
  <printOptions horizontalCentered="1"/>
  <pageMargins left="0.31496062992125984" right="0.31496062992125984" top="0.19685039370078741" bottom="0.19685039370078741" header="0.31496062992125984" footer="0.31496062992125984"/>
  <pageSetup paperSize="8" scale="65" fitToHeight="2" orientation="landscape" r:id="rId1"/>
  <headerFooter>
    <oddFooter>&amp;L_x000D_&amp;1#&amp;"Trebuchet MS"&amp;9&amp;K737373 PÚBLICA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4611-1709-4297-A359-0D1D15EB77BD}">
  <dimension ref="B1:BB200"/>
  <sheetViews>
    <sheetView zoomScale="85" zoomScaleNormal="85" workbookViewId="0">
      <pane xSplit="5" ySplit="4" topLeftCell="F146" activePane="bottomRight" state="frozen"/>
      <selection pane="topRight" activeCell="F1" sqref="F1"/>
      <selection pane="bottomLeft" activeCell="A5" sqref="A5"/>
      <selection pane="bottomRight" activeCell="F197" sqref="F197"/>
    </sheetView>
  </sheetViews>
  <sheetFormatPr defaultRowHeight="14.5" x14ac:dyDescent="0.35"/>
  <cols>
    <col min="1" max="1" width="1.453125" customWidth="1"/>
    <col min="2" max="2" width="12.6328125" customWidth="1"/>
    <col min="3" max="3" width="73.08984375" customWidth="1"/>
    <col min="4" max="4" width="26.90625" style="16" customWidth="1"/>
    <col min="5" max="5" width="29.1796875" style="16" customWidth="1"/>
    <col min="6" max="6" width="13.54296875" style="16" customWidth="1"/>
    <col min="7" max="7" width="13.08984375" style="16" customWidth="1"/>
    <col min="8" max="52" width="4.81640625" customWidth="1"/>
    <col min="53" max="53" width="10.1796875" bestFit="1" customWidth="1"/>
    <col min="222" max="223" width="2.7265625" customWidth="1"/>
    <col min="224" max="224" width="4.7265625" customWidth="1"/>
    <col min="225" max="225" width="38.453125" bestFit="1" customWidth="1"/>
    <col min="226" max="226" width="8.26953125" customWidth="1"/>
    <col min="228" max="228" width="8.54296875" customWidth="1"/>
    <col min="229" max="229" width="9" customWidth="1"/>
    <col min="230" max="232" width="0" hidden="1" customWidth="1"/>
    <col min="233" max="233" width="13.7265625" customWidth="1"/>
    <col min="234" max="237" width="0" hidden="1" customWidth="1"/>
    <col min="238" max="238" width="13.7265625" customWidth="1"/>
    <col min="239" max="243" width="0" hidden="1" customWidth="1"/>
    <col min="244" max="244" width="14.453125" bestFit="1" customWidth="1"/>
    <col min="245" max="248" width="0" hidden="1" customWidth="1"/>
    <col min="249" max="249" width="14.453125" customWidth="1"/>
    <col min="250" max="253" width="0" hidden="1" customWidth="1"/>
    <col min="254" max="254" width="14" customWidth="1"/>
    <col min="255" max="259" width="0" hidden="1" customWidth="1"/>
    <col min="260" max="260" width="14" customWidth="1"/>
    <col min="261" max="264" width="0" hidden="1" customWidth="1"/>
    <col min="265" max="265" width="13.7265625" customWidth="1"/>
    <col min="266" max="269" width="0" hidden="1" customWidth="1"/>
    <col min="270" max="270" width="14.453125" bestFit="1" customWidth="1"/>
    <col min="271" max="275" width="0" hidden="1" customWidth="1"/>
    <col min="276" max="276" width="14.453125" customWidth="1"/>
    <col min="277" max="280" width="0" hidden="1" customWidth="1"/>
    <col min="281" max="281" width="15.26953125" bestFit="1" customWidth="1"/>
    <col min="282" max="283" width="0" hidden="1" customWidth="1"/>
    <col min="284" max="284" width="14" customWidth="1"/>
    <col min="285" max="285" width="10.7265625" customWidth="1"/>
    <col min="478" max="479" width="2.7265625" customWidth="1"/>
    <col min="480" max="480" width="4.7265625" customWidth="1"/>
    <col min="481" max="481" width="38.453125" bestFit="1" customWidth="1"/>
    <col min="482" max="482" width="8.26953125" customWidth="1"/>
    <col min="484" max="484" width="8.54296875" customWidth="1"/>
    <col min="485" max="485" width="9" customWidth="1"/>
    <col min="486" max="488" width="0" hidden="1" customWidth="1"/>
    <col min="489" max="489" width="13.7265625" customWidth="1"/>
    <col min="490" max="493" width="0" hidden="1" customWidth="1"/>
    <col min="494" max="494" width="13.7265625" customWidth="1"/>
    <col min="495" max="499" width="0" hidden="1" customWidth="1"/>
    <col min="500" max="500" width="14.453125" bestFit="1" customWidth="1"/>
    <col min="501" max="504" width="0" hidden="1" customWidth="1"/>
    <col min="505" max="505" width="14.453125" customWidth="1"/>
    <col min="506" max="509" width="0" hidden="1" customWidth="1"/>
    <col min="510" max="510" width="14" customWidth="1"/>
    <col min="511" max="515" width="0" hidden="1" customWidth="1"/>
    <col min="516" max="516" width="14" customWidth="1"/>
    <col min="517" max="520" width="0" hidden="1" customWidth="1"/>
    <col min="521" max="521" width="13.7265625" customWidth="1"/>
    <col min="522" max="525" width="0" hidden="1" customWidth="1"/>
    <col min="526" max="526" width="14.453125" bestFit="1" customWidth="1"/>
    <col min="527" max="531" width="0" hidden="1" customWidth="1"/>
    <col min="532" max="532" width="14.453125" customWidth="1"/>
    <col min="533" max="536" width="0" hidden="1" customWidth="1"/>
    <col min="537" max="537" width="15.26953125" bestFit="1" customWidth="1"/>
    <col min="538" max="539" width="0" hidden="1" customWidth="1"/>
    <col min="540" max="540" width="14" customWidth="1"/>
    <col min="541" max="541" width="10.7265625" customWidth="1"/>
    <col min="734" max="735" width="2.7265625" customWidth="1"/>
    <col min="736" max="736" width="4.7265625" customWidth="1"/>
    <col min="737" max="737" width="38.453125" bestFit="1" customWidth="1"/>
    <col min="738" max="738" width="8.26953125" customWidth="1"/>
    <col min="740" max="740" width="8.54296875" customWidth="1"/>
    <col min="741" max="741" width="9" customWidth="1"/>
    <col min="742" max="744" width="0" hidden="1" customWidth="1"/>
    <col min="745" max="745" width="13.7265625" customWidth="1"/>
    <col min="746" max="749" width="0" hidden="1" customWidth="1"/>
    <col min="750" max="750" width="13.7265625" customWidth="1"/>
    <col min="751" max="755" width="0" hidden="1" customWidth="1"/>
    <col min="756" max="756" width="14.453125" bestFit="1" customWidth="1"/>
    <col min="757" max="760" width="0" hidden="1" customWidth="1"/>
    <col min="761" max="761" width="14.453125" customWidth="1"/>
    <col min="762" max="765" width="0" hidden="1" customWidth="1"/>
    <col min="766" max="766" width="14" customWidth="1"/>
    <col min="767" max="771" width="0" hidden="1" customWidth="1"/>
    <col min="772" max="772" width="14" customWidth="1"/>
    <col min="773" max="776" width="0" hidden="1" customWidth="1"/>
    <col min="777" max="777" width="13.7265625" customWidth="1"/>
    <col min="778" max="781" width="0" hidden="1" customWidth="1"/>
    <col min="782" max="782" width="14.453125" bestFit="1" customWidth="1"/>
    <col min="783" max="787" width="0" hidden="1" customWidth="1"/>
    <col min="788" max="788" width="14.453125" customWidth="1"/>
    <col min="789" max="792" width="0" hidden="1" customWidth="1"/>
    <col min="793" max="793" width="15.26953125" bestFit="1" customWidth="1"/>
    <col min="794" max="795" width="0" hidden="1" customWidth="1"/>
    <col min="796" max="796" width="14" customWidth="1"/>
    <col min="797" max="797" width="10.7265625" customWidth="1"/>
    <col min="990" max="991" width="2.7265625" customWidth="1"/>
    <col min="992" max="992" width="4.7265625" customWidth="1"/>
    <col min="993" max="993" width="38.453125" bestFit="1" customWidth="1"/>
    <col min="994" max="994" width="8.26953125" customWidth="1"/>
    <col min="996" max="996" width="8.54296875" customWidth="1"/>
    <col min="997" max="997" width="9" customWidth="1"/>
    <col min="998" max="1000" width="0" hidden="1" customWidth="1"/>
    <col min="1001" max="1001" width="13.7265625" customWidth="1"/>
    <col min="1002" max="1005" width="0" hidden="1" customWidth="1"/>
    <col min="1006" max="1006" width="13.7265625" customWidth="1"/>
    <col min="1007" max="1011" width="0" hidden="1" customWidth="1"/>
    <col min="1012" max="1012" width="14.453125" bestFit="1" customWidth="1"/>
    <col min="1013" max="1016" width="0" hidden="1" customWidth="1"/>
    <col min="1017" max="1017" width="14.453125" customWidth="1"/>
    <col min="1018" max="1021" width="0" hidden="1" customWidth="1"/>
    <col min="1022" max="1022" width="14" customWidth="1"/>
    <col min="1023" max="1027" width="0" hidden="1" customWidth="1"/>
    <col min="1028" max="1028" width="14" customWidth="1"/>
    <col min="1029" max="1032" width="0" hidden="1" customWidth="1"/>
    <col min="1033" max="1033" width="13.7265625" customWidth="1"/>
    <col min="1034" max="1037" width="0" hidden="1" customWidth="1"/>
    <col min="1038" max="1038" width="14.453125" bestFit="1" customWidth="1"/>
    <col min="1039" max="1043" width="0" hidden="1" customWidth="1"/>
    <col min="1044" max="1044" width="14.453125" customWidth="1"/>
    <col min="1045" max="1048" width="0" hidden="1" customWidth="1"/>
    <col min="1049" max="1049" width="15.26953125" bestFit="1" customWidth="1"/>
    <col min="1050" max="1051" width="0" hidden="1" customWidth="1"/>
    <col min="1052" max="1052" width="14" customWidth="1"/>
    <col min="1053" max="1053" width="10.7265625" customWidth="1"/>
    <col min="1246" max="1247" width="2.7265625" customWidth="1"/>
    <col min="1248" max="1248" width="4.7265625" customWidth="1"/>
    <col min="1249" max="1249" width="38.453125" bestFit="1" customWidth="1"/>
    <col min="1250" max="1250" width="8.26953125" customWidth="1"/>
    <col min="1252" max="1252" width="8.54296875" customWidth="1"/>
    <col min="1253" max="1253" width="9" customWidth="1"/>
    <col min="1254" max="1256" width="0" hidden="1" customWidth="1"/>
    <col min="1257" max="1257" width="13.7265625" customWidth="1"/>
    <col min="1258" max="1261" width="0" hidden="1" customWidth="1"/>
    <col min="1262" max="1262" width="13.7265625" customWidth="1"/>
    <col min="1263" max="1267" width="0" hidden="1" customWidth="1"/>
    <col min="1268" max="1268" width="14.453125" bestFit="1" customWidth="1"/>
    <col min="1269" max="1272" width="0" hidden="1" customWidth="1"/>
    <col min="1273" max="1273" width="14.453125" customWidth="1"/>
    <col min="1274" max="1277" width="0" hidden="1" customWidth="1"/>
    <col min="1278" max="1278" width="14" customWidth="1"/>
    <col min="1279" max="1283" width="0" hidden="1" customWidth="1"/>
    <col min="1284" max="1284" width="14" customWidth="1"/>
    <col min="1285" max="1288" width="0" hidden="1" customWidth="1"/>
    <col min="1289" max="1289" width="13.7265625" customWidth="1"/>
    <col min="1290" max="1293" width="0" hidden="1" customWidth="1"/>
    <col min="1294" max="1294" width="14.453125" bestFit="1" customWidth="1"/>
    <col min="1295" max="1299" width="0" hidden="1" customWidth="1"/>
    <col min="1300" max="1300" width="14.453125" customWidth="1"/>
    <col min="1301" max="1304" width="0" hidden="1" customWidth="1"/>
    <col min="1305" max="1305" width="15.26953125" bestFit="1" customWidth="1"/>
    <col min="1306" max="1307" width="0" hidden="1" customWidth="1"/>
    <col min="1308" max="1308" width="14" customWidth="1"/>
    <col min="1309" max="1309" width="10.7265625" customWidth="1"/>
    <col min="1502" max="1503" width="2.7265625" customWidth="1"/>
    <col min="1504" max="1504" width="4.7265625" customWidth="1"/>
    <col min="1505" max="1505" width="38.453125" bestFit="1" customWidth="1"/>
    <col min="1506" max="1506" width="8.26953125" customWidth="1"/>
    <col min="1508" max="1508" width="8.54296875" customWidth="1"/>
    <col min="1509" max="1509" width="9" customWidth="1"/>
    <col min="1510" max="1512" width="0" hidden="1" customWidth="1"/>
    <col min="1513" max="1513" width="13.7265625" customWidth="1"/>
    <col min="1514" max="1517" width="0" hidden="1" customWidth="1"/>
    <col min="1518" max="1518" width="13.7265625" customWidth="1"/>
    <col min="1519" max="1523" width="0" hidden="1" customWidth="1"/>
    <col min="1524" max="1524" width="14.453125" bestFit="1" customWidth="1"/>
    <col min="1525" max="1528" width="0" hidden="1" customWidth="1"/>
    <col min="1529" max="1529" width="14.453125" customWidth="1"/>
    <col min="1530" max="1533" width="0" hidden="1" customWidth="1"/>
    <col min="1534" max="1534" width="14" customWidth="1"/>
    <col min="1535" max="1539" width="0" hidden="1" customWidth="1"/>
    <col min="1540" max="1540" width="14" customWidth="1"/>
    <col min="1541" max="1544" width="0" hidden="1" customWidth="1"/>
    <col min="1545" max="1545" width="13.7265625" customWidth="1"/>
    <col min="1546" max="1549" width="0" hidden="1" customWidth="1"/>
    <col min="1550" max="1550" width="14.453125" bestFit="1" customWidth="1"/>
    <col min="1551" max="1555" width="0" hidden="1" customWidth="1"/>
    <col min="1556" max="1556" width="14.453125" customWidth="1"/>
    <col min="1557" max="1560" width="0" hidden="1" customWidth="1"/>
    <col min="1561" max="1561" width="15.26953125" bestFit="1" customWidth="1"/>
    <col min="1562" max="1563" width="0" hidden="1" customWidth="1"/>
    <col min="1564" max="1564" width="14" customWidth="1"/>
    <col min="1565" max="1565" width="10.7265625" customWidth="1"/>
    <col min="1758" max="1759" width="2.7265625" customWidth="1"/>
    <col min="1760" max="1760" width="4.7265625" customWidth="1"/>
    <col min="1761" max="1761" width="38.453125" bestFit="1" customWidth="1"/>
    <col min="1762" max="1762" width="8.26953125" customWidth="1"/>
    <col min="1764" max="1764" width="8.54296875" customWidth="1"/>
    <col min="1765" max="1765" width="9" customWidth="1"/>
    <col min="1766" max="1768" width="0" hidden="1" customWidth="1"/>
    <col min="1769" max="1769" width="13.7265625" customWidth="1"/>
    <col min="1770" max="1773" width="0" hidden="1" customWidth="1"/>
    <col min="1774" max="1774" width="13.7265625" customWidth="1"/>
    <col min="1775" max="1779" width="0" hidden="1" customWidth="1"/>
    <col min="1780" max="1780" width="14.453125" bestFit="1" customWidth="1"/>
    <col min="1781" max="1784" width="0" hidden="1" customWidth="1"/>
    <col min="1785" max="1785" width="14.453125" customWidth="1"/>
    <col min="1786" max="1789" width="0" hidden="1" customWidth="1"/>
    <col min="1790" max="1790" width="14" customWidth="1"/>
    <col min="1791" max="1795" width="0" hidden="1" customWidth="1"/>
    <col min="1796" max="1796" width="14" customWidth="1"/>
    <col min="1797" max="1800" width="0" hidden="1" customWidth="1"/>
    <col min="1801" max="1801" width="13.7265625" customWidth="1"/>
    <col min="1802" max="1805" width="0" hidden="1" customWidth="1"/>
    <col min="1806" max="1806" width="14.453125" bestFit="1" customWidth="1"/>
    <col min="1807" max="1811" width="0" hidden="1" customWidth="1"/>
    <col min="1812" max="1812" width="14.453125" customWidth="1"/>
    <col min="1813" max="1816" width="0" hidden="1" customWidth="1"/>
    <col min="1817" max="1817" width="15.26953125" bestFit="1" customWidth="1"/>
    <col min="1818" max="1819" width="0" hidden="1" customWidth="1"/>
    <col min="1820" max="1820" width="14" customWidth="1"/>
    <col min="1821" max="1821" width="10.7265625" customWidth="1"/>
    <col min="2014" max="2015" width="2.7265625" customWidth="1"/>
    <col min="2016" max="2016" width="4.7265625" customWidth="1"/>
    <col min="2017" max="2017" width="38.453125" bestFit="1" customWidth="1"/>
    <col min="2018" max="2018" width="8.26953125" customWidth="1"/>
    <col min="2020" max="2020" width="8.54296875" customWidth="1"/>
    <col min="2021" max="2021" width="9" customWidth="1"/>
    <col min="2022" max="2024" width="0" hidden="1" customWidth="1"/>
    <col min="2025" max="2025" width="13.7265625" customWidth="1"/>
    <col min="2026" max="2029" width="0" hidden="1" customWidth="1"/>
    <col min="2030" max="2030" width="13.7265625" customWidth="1"/>
    <col min="2031" max="2035" width="0" hidden="1" customWidth="1"/>
    <col min="2036" max="2036" width="14.453125" bestFit="1" customWidth="1"/>
    <col min="2037" max="2040" width="0" hidden="1" customWidth="1"/>
    <col min="2041" max="2041" width="14.453125" customWidth="1"/>
    <col min="2042" max="2045" width="0" hidden="1" customWidth="1"/>
    <col min="2046" max="2046" width="14" customWidth="1"/>
    <col min="2047" max="2051" width="0" hidden="1" customWidth="1"/>
    <col min="2052" max="2052" width="14" customWidth="1"/>
    <col min="2053" max="2056" width="0" hidden="1" customWidth="1"/>
    <col min="2057" max="2057" width="13.7265625" customWidth="1"/>
    <col min="2058" max="2061" width="0" hidden="1" customWidth="1"/>
    <col min="2062" max="2062" width="14.453125" bestFit="1" customWidth="1"/>
    <col min="2063" max="2067" width="0" hidden="1" customWidth="1"/>
    <col min="2068" max="2068" width="14.453125" customWidth="1"/>
    <col min="2069" max="2072" width="0" hidden="1" customWidth="1"/>
    <col min="2073" max="2073" width="15.26953125" bestFit="1" customWidth="1"/>
    <col min="2074" max="2075" width="0" hidden="1" customWidth="1"/>
    <col min="2076" max="2076" width="14" customWidth="1"/>
    <col min="2077" max="2077" width="10.7265625" customWidth="1"/>
    <col min="2270" max="2271" width="2.7265625" customWidth="1"/>
    <col min="2272" max="2272" width="4.7265625" customWidth="1"/>
    <col min="2273" max="2273" width="38.453125" bestFit="1" customWidth="1"/>
    <col min="2274" max="2274" width="8.26953125" customWidth="1"/>
    <col min="2276" max="2276" width="8.54296875" customWidth="1"/>
    <col min="2277" max="2277" width="9" customWidth="1"/>
    <col min="2278" max="2280" width="0" hidden="1" customWidth="1"/>
    <col min="2281" max="2281" width="13.7265625" customWidth="1"/>
    <col min="2282" max="2285" width="0" hidden="1" customWidth="1"/>
    <col min="2286" max="2286" width="13.7265625" customWidth="1"/>
    <col min="2287" max="2291" width="0" hidden="1" customWidth="1"/>
    <col min="2292" max="2292" width="14.453125" bestFit="1" customWidth="1"/>
    <col min="2293" max="2296" width="0" hidden="1" customWidth="1"/>
    <col min="2297" max="2297" width="14.453125" customWidth="1"/>
    <col min="2298" max="2301" width="0" hidden="1" customWidth="1"/>
    <col min="2302" max="2302" width="14" customWidth="1"/>
    <col min="2303" max="2307" width="0" hidden="1" customWidth="1"/>
    <col min="2308" max="2308" width="14" customWidth="1"/>
    <col min="2309" max="2312" width="0" hidden="1" customWidth="1"/>
    <col min="2313" max="2313" width="13.7265625" customWidth="1"/>
    <col min="2314" max="2317" width="0" hidden="1" customWidth="1"/>
    <col min="2318" max="2318" width="14.453125" bestFit="1" customWidth="1"/>
    <col min="2319" max="2323" width="0" hidden="1" customWidth="1"/>
    <col min="2324" max="2324" width="14.453125" customWidth="1"/>
    <col min="2325" max="2328" width="0" hidden="1" customWidth="1"/>
    <col min="2329" max="2329" width="15.26953125" bestFit="1" customWidth="1"/>
    <col min="2330" max="2331" width="0" hidden="1" customWidth="1"/>
    <col min="2332" max="2332" width="14" customWidth="1"/>
    <col min="2333" max="2333" width="10.7265625" customWidth="1"/>
    <col min="2526" max="2527" width="2.7265625" customWidth="1"/>
    <col min="2528" max="2528" width="4.7265625" customWidth="1"/>
    <col min="2529" max="2529" width="38.453125" bestFit="1" customWidth="1"/>
    <col min="2530" max="2530" width="8.26953125" customWidth="1"/>
    <col min="2532" max="2532" width="8.54296875" customWidth="1"/>
    <col min="2533" max="2533" width="9" customWidth="1"/>
    <col min="2534" max="2536" width="0" hidden="1" customWidth="1"/>
    <col min="2537" max="2537" width="13.7265625" customWidth="1"/>
    <col min="2538" max="2541" width="0" hidden="1" customWidth="1"/>
    <col min="2542" max="2542" width="13.7265625" customWidth="1"/>
    <col min="2543" max="2547" width="0" hidden="1" customWidth="1"/>
    <col min="2548" max="2548" width="14.453125" bestFit="1" customWidth="1"/>
    <col min="2549" max="2552" width="0" hidden="1" customWidth="1"/>
    <col min="2553" max="2553" width="14.453125" customWidth="1"/>
    <col min="2554" max="2557" width="0" hidden="1" customWidth="1"/>
    <col min="2558" max="2558" width="14" customWidth="1"/>
    <col min="2559" max="2563" width="0" hidden="1" customWidth="1"/>
    <col min="2564" max="2564" width="14" customWidth="1"/>
    <col min="2565" max="2568" width="0" hidden="1" customWidth="1"/>
    <col min="2569" max="2569" width="13.7265625" customWidth="1"/>
    <col min="2570" max="2573" width="0" hidden="1" customWidth="1"/>
    <col min="2574" max="2574" width="14.453125" bestFit="1" customWidth="1"/>
    <col min="2575" max="2579" width="0" hidden="1" customWidth="1"/>
    <col min="2580" max="2580" width="14.453125" customWidth="1"/>
    <col min="2581" max="2584" width="0" hidden="1" customWidth="1"/>
    <col min="2585" max="2585" width="15.26953125" bestFit="1" customWidth="1"/>
    <col min="2586" max="2587" width="0" hidden="1" customWidth="1"/>
    <col min="2588" max="2588" width="14" customWidth="1"/>
    <col min="2589" max="2589" width="10.7265625" customWidth="1"/>
    <col min="2782" max="2783" width="2.7265625" customWidth="1"/>
    <col min="2784" max="2784" width="4.7265625" customWidth="1"/>
    <col min="2785" max="2785" width="38.453125" bestFit="1" customWidth="1"/>
    <col min="2786" max="2786" width="8.26953125" customWidth="1"/>
    <col min="2788" max="2788" width="8.54296875" customWidth="1"/>
    <col min="2789" max="2789" width="9" customWidth="1"/>
    <col min="2790" max="2792" width="0" hidden="1" customWidth="1"/>
    <col min="2793" max="2793" width="13.7265625" customWidth="1"/>
    <col min="2794" max="2797" width="0" hidden="1" customWidth="1"/>
    <col min="2798" max="2798" width="13.7265625" customWidth="1"/>
    <col min="2799" max="2803" width="0" hidden="1" customWidth="1"/>
    <col min="2804" max="2804" width="14.453125" bestFit="1" customWidth="1"/>
    <col min="2805" max="2808" width="0" hidden="1" customWidth="1"/>
    <col min="2809" max="2809" width="14.453125" customWidth="1"/>
    <col min="2810" max="2813" width="0" hidden="1" customWidth="1"/>
    <col min="2814" max="2814" width="14" customWidth="1"/>
    <col min="2815" max="2819" width="0" hidden="1" customWidth="1"/>
    <col min="2820" max="2820" width="14" customWidth="1"/>
    <col min="2821" max="2824" width="0" hidden="1" customWidth="1"/>
    <col min="2825" max="2825" width="13.7265625" customWidth="1"/>
    <col min="2826" max="2829" width="0" hidden="1" customWidth="1"/>
    <col min="2830" max="2830" width="14.453125" bestFit="1" customWidth="1"/>
    <col min="2831" max="2835" width="0" hidden="1" customWidth="1"/>
    <col min="2836" max="2836" width="14.453125" customWidth="1"/>
    <col min="2837" max="2840" width="0" hidden="1" customWidth="1"/>
    <col min="2841" max="2841" width="15.26953125" bestFit="1" customWidth="1"/>
    <col min="2842" max="2843" width="0" hidden="1" customWidth="1"/>
    <col min="2844" max="2844" width="14" customWidth="1"/>
    <col min="2845" max="2845" width="10.7265625" customWidth="1"/>
    <col min="3038" max="3039" width="2.7265625" customWidth="1"/>
    <col min="3040" max="3040" width="4.7265625" customWidth="1"/>
    <col min="3041" max="3041" width="38.453125" bestFit="1" customWidth="1"/>
    <col min="3042" max="3042" width="8.26953125" customWidth="1"/>
    <col min="3044" max="3044" width="8.54296875" customWidth="1"/>
    <col min="3045" max="3045" width="9" customWidth="1"/>
    <col min="3046" max="3048" width="0" hidden="1" customWidth="1"/>
    <col min="3049" max="3049" width="13.7265625" customWidth="1"/>
    <col min="3050" max="3053" width="0" hidden="1" customWidth="1"/>
    <col min="3054" max="3054" width="13.7265625" customWidth="1"/>
    <col min="3055" max="3059" width="0" hidden="1" customWidth="1"/>
    <col min="3060" max="3060" width="14.453125" bestFit="1" customWidth="1"/>
    <col min="3061" max="3064" width="0" hidden="1" customWidth="1"/>
    <col min="3065" max="3065" width="14.453125" customWidth="1"/>
    <col min="3066" max="3069" width="0" hidden="1" customWidth="1"/>
    <col min="3070" max="3070" width="14" customWidth="1"/>
    <col min="3071" max="3075" width="0" hidden="1" customWidth="1"/>
    <col min="3076" max="3076" width="14" customWidth="1"/>
    <col min="3077" max="3080" width="0" hidden="1" customWidth="1"/>
    <col min="3081" max="3081" width="13.7265625" customWidth="1"/>
    <col min="3082" max="3085" width="0" hidden="1" customWidth="1"/>
    <col min="3086" max="3086" width="14.453125" bestFit="1" customWidth="1"/>
    <col min="3087" max="3091" width="0" hidden="1" customWidth="1"/>
    <col min="3092" max="3092" width="14.453125" customWidth="1"/>
    <col min="3093" max="3096" width="0" hidden="1" customWidth="1"/>
    <col min="3097" max="3097" width="15.26953125" bestFit="1" customWidth="1"/>
    <col min="3098" max="3099" width="0" hidden="1" customWidth="1"/>
    <col min="3100" max="3100" width="14" customWidth="1"/>
    <col min="3101" max="3101" width="10.7265625" customWidth="1"/>
    <col min="3294" max="3295" width="2.7265625" customWidth="1"/>
    <col min="3296" max="3296" width="4.7265625" customWidth="1"/>
    <col min="3297" max="3297" width="38.453125" bestFit="1" customWidth="1"/>
    <col min="3298" max="3298" width="8.26953125" customWidth="1"/>
    <col min="3300" max="3300" width="8.54296875" customWidth="1"/>
    <col min="3301" max="3301" width="9" customWidth="1"/>
    <col min="3302" max="3304" width="0" hidden="1" customWidth="1"/>
    <col min="3305" max="3305" width="13.7265625" customWidth="1"/>
    <col min="3306" max="3309" width="0" hidden="1" customWidth="1"/>
    <col min="3310" max="3310" width="13.7265625" customWidth="1"/>
    <col min="3311" max="3315" width="0" hidden="1" customWidth="1"/>
    <col min="3316" max="3316" width="14.453125" bestFit="1" customWidth="1"/>
    <col min="3317" max="3320" width="0" hidden="1" customWidth="1"/>
    <col min="3321" max="3321" width="14.453125" customWidth="1"/>
    <col min="3322" max="3325" width="0" hidden="1" customWidth="1"/>
    <col min="3326" max="3326" width="14" customWidth="1"/>
    <col min="3327" max="3331" width="0" hidden="1" customWidth="1"/>
    <col min="3332" max="3332" width="14" customWidth="1"/>
    <col min="3333" max="3336" width="0" hidden="1" customWidth="1"/>
    <col min="3337" max="3337" width="13.7265625" customWidth="1"/>
    <col min="3338" max="3341" width="0" hidden="1" customWidth="1"/>
    <col min="3342" max="3342" width="14.453125" bestFit="1" customWidth="1"/>
    <col min="3343" max="3347" width="0" hidden="1" customWidth="1"/>
    <col min="3348" max="3348" width="14.453125" customWidth="1"/>
    <col min="3349" max="3352" width="0" hidden="1" customWidth="1"/>
    <col min="3353" max="3353" width="15.26953125" bestFit="1" customWidth="1"/>
    <col min="3354" max="3355" width="0" hidden="1" customWidth="1"/>
    <col min="3356" max="3356" width="14" customWidth="1"/>
    <col min="3357" max="3357" width="10.7265625" customWidth="1"/>
    <col min="3550" max="3551" width="2.7265625" customWidth="1"/>
    <col min="3552" max="3552" width="4.7265625" customWidth="1"/>
    <col min="3553" max="3553" width="38.453125" bestFit="1" customWidth="1"/>
    <col min="3554" max="3554" width="8.26953125" customWidth="1"/>
    <col min="3556" max="3556" width="8.54296875" customWidth="1"/>
    <col min="3557" max="3557" width="9" customWidth="1"/>
    <col min="3558" max="3560" width="0" hidden="1" customWidth="1"/>
    <col min="3561" max="3561" width="13.7265625" customWidth="1"/>
    <col min="3562" max="3565" width="0" hidden="1" customWidth="1"/>
    <col min="3566" max="3566" width="13.7265625" customWidth="1"/>
    <col min="3567" max="3571" width="0" hidden="1" customWidth="1"/>
    <col min="3572" max="3572" width="14.453125" bestFit="1" customWidth="1"/>
    <col min="3573" max="3576" width="0" hidden="1" customWidth="1"/>
    <col min="3577" max="3577" width="14.453125" customWidth="1"/>
    <col min="3578" max="3581" width="0" hidden="1" customWidth="1"/>
    <col min="3582" max="3582" width="14" customWidth="1"/>
    <col min="3583" max="3587" width="0" hidden="1" customWidth="1"/>
    <col min="3588" max="3588" width="14" customWidth="1"/>
    <col min="3589" max="3592" width="0" hidden="1" customWidth="1"/>
    <col min="3593" max="3593" width="13.7265625" customWidth="1"/>
    <col min="3594" max="3597" width="0" hidden="1" customWidth="1"/>
    <col min="3598" max="3598" width="14.453125" bestFit="1" customWidth="1"/>
    <col min="3599" max="3603" width="0" hidden="1" customWidth="1"/>
    <col min="3604" max="3604" width="14.453125" customWidth="1"/>
    <col min="3605" max="3608" width="0" hidden="1" customWidth="1"/>
    <col min="3609" max="3609" width="15.26953125" bestFit="1" customWidth="1"/>
    <col min="3610" max="3611" width="0" hidden="1" customWidth="1"/>
    <col min="3612" max="3612" width="14" customWidth="1"/>
    <col min="3613" max="3613" width="10.7265625" customWidth="1"/>
    <col min="3806" max="3807" width="2.7265625" customWidth="1"/>
    <col min="3808" max="3808" width="4.7265625" customWidth="1"/>
    <col min="3809" max="3809" width="38.453125" bestFit="1" customWidth="1"/>
    <col min="3810" max="3810" width="8.26953125" customWidth="1"/>
    <col min="3812" max="3812" width="8.54296875" customWidth="1"/>
    <col min="3813" max="3813" width="9" customWidth="1"/>
    <col min="3814" max="3816" width="0" hidden="1" customWidth="1"/>
    <col min="3817" max="3817" width="13.7265625" customWidth="1"/>
    <col min="3818" max="3821" width="0" hidden="1" customWidth="1"/>
    <col min="3822" max="3822" width="13.7265625" customWidth="1"/>
    <col min="3823" max="3827" width="0" hidden="1" customWidth="1"/>
    <col min="3828" max="3828" width="14.453125" bestFit="1" customWidth="1"/>
    <col min="3829" max="3832" width="0" hidden="1" customWidth="1"/>
    <col min="3833" max="3833" width="14.453125" customWidth="1"/>
    <col min="3834" max="3837" width="0" hidden="1" customWidth="1"/>
    <col min="3838" max="3838" width="14" customWidth="1"/>
    <col min="3839" max="3843" width="0" hidden="1" customWidth="1"/>
    <col min="3844" max="3844" width="14" customWidth="1"/>
    <col min="3845" max="3848" width="0" hidden="1" customWidth="1"/>
    <col min="3849" max="3849" width="13.7265625" customWidth="1"/>
    <col min="3850" max="3853" width="0" hidden="1" customWidth="1"/>
    <col min="3854" max="3854" width="14.453125" bestFit="1" customWidth="1"/>
    <col min="3855" max="3859" width="0" hidden="1" customWidth="1"/>
    <col min="3860" max="3860" width="14.453125" customWidth="1"/>
    <col min="3861" max="3864" width="0" hidden="1" customWidth="1"/>
    <col min="3865" max="3865" width="15.26953125" bestFit="1" customWidth="1"/>
    <col min="3866" max="3867" width="0" hidden="1" customWidth="1"/>
    <col min="3868" max="3868" width="14" customWidth="1"/>
    <col min="3869" max="3869" width="10.7265625" customWidth="1"/>
    <col min="4062" max="4063" width="2.7265625" customWidth="1"/>
    <col min="4064" max="4064" width="4.7265625" customWidth="1"/>
    <col min="4065" max="4065" width="38.453125" bestFit="1" customWidth="1"/>
    <col min="4066" max="4066" width="8.26953125" customWidth="1"/>
    <col min="4068" max="4068" width="8.54296875" customWidth="1"/>
    <col min="4069" max="4069" width="9" customWidth="1"/>
    <col min="4070" max="4072" width="0" hidden="1" customWidth="1"/>
    <col min="4073" max="4073" width="13.7265625" customWidth="1"/>
    <col min="4074" max="4077" width="0" hidden="1" customWidth="1"/>
    <col min="4078" max="4078" width="13.7265625" customWidth="1"/>
    <col min="4079" max="4083" width="0" hidden="1" customWidth="1"/>
    <col min="4084" max="4084" width="14.453125" bestFit="1" customWidth="1"/>
    <col min="4085" max="4088" width="0" hidden="1" customWidth="1"/>
    <col min="4089" max="4089" width="14.453125" customWidth="1"/>
    <col min="4090" max="4093" width="0" hidden="1" customWidth="1"/>
    <col min="4094" max="4094" width="14" customWidth="1"/>
    <col min="4095" max="4099" width="0" hidden="1" customWidth="1"/>
    <col min="4100" max="4100" width="14" customWidth="1"/>
    <col min="4101" max="4104" width="0" hidden="1" customWidth="1"/>
    <col min="4105" max="4105" width="13.7265625" customWidth="1"/>
    <col min="4106" max="4109" width="0" hidden="1" customWidth="1"/>
    <col min="4110" max="4110" width="14.453125" bestFit="1" customWidth="1"/>
    <col min="4111" max="4115" width="0" hidden="1" customWidth="1"/>
    <col min="4116" max="4116" width="14.453125" customWidth="1"/>
    <col min="4117" max="4120" width="0" hidden="1" customWidth="1"/>
    <col min="4121" max="4121" width="15.26953125" bestFit="1" customWidth="1"/>
    <col min="4122" max="4123" width="0" hidden="1" customWidth="1"/>
    <col min="4124" max="4124" width="14" customWidth="1"/>
    <col min="4125" max="4125" width="10.7265625" customWidth="1"/>
    <col min="4318" max="4319" width="2.7265625" customWidth="1"/>
    <col min="4320" max="4320" width="4.7265625" customWidth="1"/>
    <col min="4321" max="4321" width="38.453125" bestFit="1" customWidth="1"/>
    <col min="4322" max="4322" width="8.26953125" customWidth="1"/>
    <col min="4324" max="4324" width="8.54296875" customWidth="1"/>
    <col min="4325" max="4325" width="9" customWidth="1"/>
    <col min="4326" max="4328" width="0" hidden="1" customWidth="1"/>
    <col min="4329" max="4329" width="13.7265625" customWidth="1"/>
    <col min="4330" max="4333" width="0" hidden="1" customWidth="1"/>
    <col min="4334" max="4334" width="13.7265625" customWidth="1"/>
    <col min="4335" max="4339" width="0" hidden="1" customWidth="1"/>
    <col min="4340" max="4340" width="14.453125" bestFit="1" customWidth="1"/>
    <col min="4341" max="4344" width="0" hidden="1" customWidth="1"/>
    <col min="4345" max="4345" width="14.453125" customWidth="1"/>
    <col min="4346" max="4349" width="0" hidden="1" customWidth="1"/>
    <col min="4350" max="4350" width="14" customWidth="1"/>
    <col min="4351" max="4355" width="0" hidden="1" customWidth="1"/>
    <col min="4356" max="4356" width="14" customWidth="1"/>
    <col min="4357" max="4360" width="0" hidden="1" customWidth="1"/>
    <col min="4361" max="4361" width="13.7265625" customWidth="1"/>
    <col min="4362" max="4365" width="0" hidden="1" customWidth="1"/>
    <col min="4366" max="4366" width="14.453125" bestFit="1" customWidth="1"/>
    <col min="4367" max="4371" width="0" hidden="1" customWidth="1"/>
    <col min="4372" max="4372" width="14.453125" customWidth="1"/>
    <col min="4373" max="4376" width="0" hidden="1" customWidth="1"/>
    <col min="4377" max="4377" width="15.26953125" bestFit="1" customWidth="1"/>
    <col min="4378" max="4379" width="0" hidden="1" customWidth="1"/>
    <col min="4380" max="4380" width="14" customWidth="1"/>
    <col min="4381" max="4381" width="10.7265625" customWidth="1"/>
    <col min="4574" max="4575" width="2.7265625" customWidth="1"/>
    <col min="4576" max="4576" width="4.7265625" customWidth="1"/>
    <col min="4577" max="4577" width="38.453125" bestFit="1" customWidth="1"/>
    <col min="4578" max="4578" width="8.26953125" customWidth="1"/>
    <col min="4580" max="4580" width="8.54296875" customWidth="1"/>
    <col min="4581" max="4581" width="9" customWidth="1"/>
    <col min="4582" max="4584" width="0" hidden="1" customWidth="1"/>
    <col min="4585" max="4585" width="13.7265625" customWidth="1"/>
    <col min="4586" max="4589" width="0" hidden="1" customWidth="1"/>
    <col min="4590" max="4590" width="13.7265625" customWidth="1"/>
    <col min="4591" max="4595" width="0" hidden="1" customWidth="1"/>
    <col min="4596" max="4596" width="14.453125" bestFit="1" customWidth="1"/>
    <col min="4597" max="4600" width="0" hidden="1" customWidth="1"/>
    <col min="4601" max="4601" width="14.453125" customWidth="1"/>
    <col min="4602" max="4605" width="0" hidden="1" customWidth="1"/>
    <col min="4606" max="4606" width="14" customWidth="1"/>
    <col min="4607" max="4611" width="0" hidden="1" customWidth="1"/>
    <col min="4612" max="4612" width="14" customWidth="1"/>
    <col min="4613" max="4616" width="0" hidden="1" customWidth="1"/>
    <col min="4617" max="4617" width="13.7265625" customWidth="1"/>
    <col min="4618" max="4621" width="0" hidden="1" customWidth="1"/>
    <col min="4622" max="4622" width="14.453125" bestFit="1" customWidth="1"/>
    <col min="4623" max="4627" width="0" hidden="1" customWidth="1"/>
    <col min="4628" max="4628" width="14.453125" customWidth="1"/>
    <col min="4629" max="4632" width="0" hidden="1" customWidth="1"/>
    <col min="4633" max="4633" width="15.26953125" bestFit="1" customWidth="1"/>
    <col min="4634" max="4635" width="0" hidden="1" customWidth="1"/>
    <col min="4636" max="4636" width="14" customWidth="1"/>
    <col min="4637" max="4637" width="10.7265625" customWidth="1"/>
    <col min="4830" max="4831" width="2.7265625" customWidth="1"/>
    <col min="4832" max="4832" width="4.7265625" customWidth="1"/>
    <col min="4833" max="4833" width="38.453125" bestFit="1" customWidth="1"/>
    <col min="4834" max="4834" width="8.26953125" customWidth="1"/>
    <col min="4836" max="4836" width="8.54296875" customWidth="1"/>
    <col min="4837" max="4837" width="9" customWidth="1"/>
    <col min="4838" max="4840" width="0" hidden="1" customWidth="1"/>
    <col min="4841" max="4841" width="13.7265625" customWidth="1"/>
    <col min="4842" max="4845" width="0" hidden="1" customWidth="1"/>
    <col min="4846" max="4846" width="13.7265625" customWidth="1"/>
    <col min="4847" max="4851" width="0" hidden="1" customWidth="1"/>
    <col min="4852" max="4852" width="14.453125" bestFit="1" customWidth="1"/>
    <col min="4853" max="4856" width="0" hidden="1" customWidth="1"/>
    <col min="4857" max="4857" width="14.453125" customWidth="1"/>
    <col min="4858" max="4861" width="0" hidden="1" customWidth="1"/>
    <col min="4862" max="4862" width="14" customWidth="1"/>
    <col min="4863" max="4867" width="0" hidden="1" customWidth="1"/>
    <col min="4868" max="4868" width="14" customWidth="1"/>
    <col min="4869" max="4872" width="0" hidden="1" customWidth="1"/>
    <col min="4873" max="4873" width="13.7265625" customWidth="1"/>
    <col min="4874" max="4877" width="0" hidden="1" customWidth="1"/>
    <col min="4878" max="4878" width="14.453125" bestFit="1" customWidth="1"/>
    <col min="4879" max="4883" width="0" hidden="1" customWidth="1"/>
    <col min="4884" max="4884" width="14.453125" customWidth="1"/>
    <col min="4885" max="4888" width="0" hidden="1" customWidth="1"/>
    <col min="4889" max="4889" width="15.26953125" bestFit="1" customWidth="1"/>
    <col min="4890" max="4891" width="0" hidden="1" customWidth="1"/>
    <col min="4892" max="4892" width="14" customWidth="1"/>
    <col min="4893" max="4893" width="10.7265625" customWidth="1"/>
    <col min="5086" max="5087" width="2.7265625" customWidth="1"/>
    <col min="5088" max="5088" width="4.7265625" customWidth="1"/>
    <col min="5089" max="5089" width="38.453125" bestFit="1" customWidth="1"/>
    <col min="5090" max="5090" width="8.26953125" customWidth="1"/>
    <col min="5092" max="5092" width="8.54296875" customWidth="1"/>
    <col min="5093" max="5093" width="9" customWidth="1"/>
    <col min="5094" max="5096" width="0" hidden="1" customWidth="1"/>
    <col min="5097" max="5097" width="13.7265625" customWidth="1"/>
    <col min="5098" max="5101" width="0" hidden="1" customWidth="1"/>
    <col min="5102" max="5102" width="13.7265625" customWidth="1"/>
    <col min="5103" max="5107" width="0" hidden="1" customWidth="1"/>
    <col min="5108" max="5108" width="14.453125" bestFit="1" customWidth="1"/>
    <col min="5109" max="5112" width="0" hidden="1" customWidth="1"/>
    <col min="5113" max="5113" width="14.453125" customWidth="1"/>
    <col min="5114" max="5117" width="0" hidden="1" customWidth="1"/>
    <col min="5118" max="5118" width="14" customWidth="1"/>
    <col min="5119" max="5123" width="0" hidden="1" customWidth="1"/>
    <col min="5124" max="5124" width="14" customWidth="1"/>
    <col min="5125" max="5128" width="0" hidden="1" customWidth="1"/>
    <col min="5129" max="5129" width="13.7265625" customWidth="1"/>
    <col min="5130" max="5133" width="0" hidden="1" customWidth="1"/>
    <col min="5134" max="5134" width="14.453125" bestFit="1" customWidth="1"/>
    <col min="5135" max="5139" width="0" hidden="1" customWidth="1"/>
    <col min="5140" max="5140" width="14.453125" customWidth="1"/>
    <col min="5141" max="5144" width="0" hidden="1" customWidth="1"/>
    <col min="5145" max="5145" width="15.26953125" bestFit="1" customWidth="1"/>
    <col min="5146" max="5147" width="0" hidden="1" customWidth="1"/>
    <col min="5148" max="5148" width="14" customWidth="1"/>
    <col min="5149" max="5149" width="10.7265625" customWidth="1"/>
    <col min="5342" max="5343" width="2.7265625" customWidth="1"/>
    <col min="5344" max="5344" width="4.7265625" customWidth="1"/>
    <col min="5345" max="5345" width="38.453125" bestFit="1" customWidth="1"/>
    <col min="5346" max="5346" width="8.26953125" customWidth="1"/>
    <col min="5348" max="5348" width="8.54296875" customWidth="1"/>
    <col min="5349" max="5349" width="9" customWidth="1"/>
    <col min="5350" max="5352" width="0" hidden="1" customWidth="1"/>
    <col min="5353" max="5353" width="13.7265625" customWidth="1"/>
    <col min="5354" max="5357" width="0" hidden="1" customWidth="1"/>
    <col min="5358" max="5358" width="13.7265625" customWidth="1"/>
    <col min="5359" max="5363" width="0" hidden="1" customWidth="1"/>
    <col min="5364" max="5364" width="14.453125" bestFit="1" customWidth="1"/>
    <col min="5365" max="5368" width="0" hidden="1" customWidth="1"/>
    <col min="5369" max="5369" width="14.453125" customWidth="1"/>
    <col min="5370" max="5373" width="0" hidden="1" customWidth="1"/>
    <col min="5374" max="5374" width="14" customWidth="1"/>
    <col min="5375" max="5379" width="0" hidden="1" customWidth="1"/>
    <col min="5380" max="5380" width="14" customWidth="1"/>
    <col min="5381" max="5384" width="0" hidden="1" customWidth="1"/>
    <col min="5385" max="5385" width="13.7265625" customWidth="1"/>
    <col min="5386" max="5389" width="0" hidden="1" customWidth="1"/>
    <col min="5390" max="5390" width="14.453125" bestFit="1" customWidth="1"/>
    <col min="5391" max="5395" width="0" hidden="1" customWidth="1"/>
    <col min="5396" max="5396" width="14.453125" customWidth="1"/>
    <col min="5397" max="5400" width="0" hidden="1" customWidth="1"/>
    <col min="5401" max="5401" width="15.26953125" bestFit="1" customWidth="1"/>
    <col min="5402" max="5403" width="0" hidden="1" customWidth="1"/>
    <col min="5404" max="5404" width="14" customWidth="1"/>
    <col min="5405" max="5405" width="10.7265625" customWidth="1"/>
    <col min="5598" max="5599" width="2.7265625" customWidth="1"/>
    <col min="5600" max="5600" width="4.7265625" customWidth="1"/>
    <col min="5601" max="5601" width="38.453125" bestFit="1" customWidth="1"/>
    <col min="5602" max="5602" width="8.26953125" customWidth="1"/>
    <col min="5604" max="5604" width="8.54296875" customWidth="1"/>
    <col min="5605" max="5605" width="9" customWidth="1"/>
    <col min="5606" max="5608" width="0" hidden="1" customWidth="1"/>
    <col min="5609" max="5609" width="13.7265625" customWidth="1"/>
    <col min="5610" max="5613" width="0" hidden="1" customWidth="1"/>
    <col min="5614" max="5614" width="13.7265625" customWidth="1"/>
    <col min="5615" max="5619" width="0" hidden="1" customWidth="1"/>
    <col min="5620" max="5620" width="14.453125" bestFit="1" customWidth="1"/>
    <col min="5621" max="5624" width="0" hidden="1" customWidth="1"/>
    <col min="5625" max="5625" width="14.453125" customWidth="1"/>
    <col min="5626" max="5629" width="0" hidden="1" customWidth="1"/>
    <col min="5630" max="5630" width="14" customWidth="1"/>
    <col min="5631" max="5635" width="0" hidden="1" customWidth="1"/>
    <col min="5636" max="5636" width="14" customWidth="1"/>
    <col min="5637" max="5640" width="0" hidden="1" customWidth="1"/>
    <col min="5641" max="5641" width="13.7265625" customWidth="1"/>
    <col min="5642" max="5645" width="0" hidden="1" customWidth="1"/>
    <col min="5646" max="5646" width="14.453125" bestFit="1" customWidth="1"/>
    <col min="5647" max="5651" width="0" hidden="1" customWidth="1"/>
    <col min="5652" max="5652" width="14.453125" customWidth="1"/>
    <col min="5653" max="5656" width="0" hidden="1" customWidth="1"/>
    <col min="5657" max="5657" width="15.26953125" bestFit="1" customWidth="1"/>
    <col min="5658" max="5659" width="0" hidden="1" customWidth="1"/>
    <col min="5660" max="5660" width="14" customWidth="1"/>
    <col min="5661" max="5661" width="10.7265625" customWidth="1"/>
    <col min="5854" max="5855" width="2.7265625" customWidth="1"/>
    <col min="5856" max="5856" width="4.7265625" customWidth="1"/>
    <col min="5857" max="5857" width="38.453125" bestFit="1" customWidth="1"/>
    <col min="5858" max="5858" width="8.26953125" customWidth="1"/>
    <col min="5860" max="5860" width="8.54296875" customWidth="1"/>
    <col min="5861" max="5861" width="9" customWidth="1"/>
    <col min="5862" max="5864" width="0" hidden="1" customWidth="1"/>
    <col min="5865" max="5865" width="13.7265625" customWidth="1"/>
    <col min="5866" max="5869" width="0" hidden="1" customWidth="1"/>
    <col min="5870" max="5870" width="13.7265625" customWidth="1"/>
    <col min="5871" max="5875" width="0" hidden="1" customWidth="1"/>
    <col min="5876" max="5876" width="14.453125" bestFit="1" customWidth="1"/>
    <col min="5877" max="5880" width="0" hidden="1" customWidth="1"/>
    <col min="5881" max="5881" width="14.453125" customWidth="1"/>
    <col min="5882" max="5885" width="0" hidden="1" customWidth="1"/>
    <col min="5886" max="5886" width="14" customWidth="1"/>
    <col min="5887" max="5891" width="0" hidden="1" customWidth="1"/>
    <col min="5892" max="5892" width="14" customWidth="1"/>
    <col min="5893" max="5896" width="0" hidden="1" customWidth="1"/>
    <col min="5897" max="5897" width="13.7265625" customWidth="1"/>
    <col min="5898" max="5901" width="0" hidden="1" customWidth="1"/>
    <col min="5902" max="5902" width="14.453125" bestFit="1" customWidth="1"/>
    <col min="5903" max="5907" width="0" hidden="1" customWidth="1"/>
    <col min="5908" max="5908" width="14.453125" customWidth="1"/>
    <col min="5909" max="5912" width="0" hidden="1" customWidth="1"/>
    <col min="5913" max="5913" width="15.26953125" bestFit="1" customWidth="1"/>
    <col min="5914" max="5915" width="0" hidden="1" customWidth="1"/>
    <col min="5916" max="5916" width="14" customWidth="1"/>
    <col min="5917" max="5917" width="10.7265625" customWidth="1"/>
    <col min="6110" max="6111" width="2.7265625" customWidth="1"/>
    <col min="6112" max="6112" width="4.7265625" customWidth="1"/>
    <col min="6113" max="6113" width="38.453125" bestFit="1" customWidth="1"/>
    <col min="6114" max="6114" width="8.26953125" customWidth="1"/>
    <col min="6116" max="6116" width="8.54296875" customWidth="1"/>
    <col min="6117" max="6117" width="9" customWidth="1"/>
    <col min="6118" max="6120" width="0" hidden="1" customWidth="1"/>
    <col min="6121" max="6121" width="13.7265625" customWidth="1"/>
    <col min="6122" max="6125" width="0" hidden="1" customWidth="1"/>
    <col min="6126" max="6126" width="13.7265625" customWidth="1"/>
    <col min="6127" max="6131" width="0" hidden="1" customWidth="1"/>
    <col min="6132" max="6132" width="14.453125" bestFit="1" customWidth="1"/>
    <col min="6133" max="6136" width="0" hidden="1" customWidth="1"/>
    <col min="6137" max="6137" width="14.453125" customWidth="1"/>
    <col min="6138" max="6141" width="0" hidden="1" customWidth="1"/>
    <col min="6142" max="6142" width="14" customWidth="1"/>
    <col min="6143" max="6147" width="0" hidden="1" customWidth="1"/>
    <col min="6148" max="6148" width="14" customWidth="1"/>
    <col min="6149" max="6152" width="0" hidden="1" customWidth="1"/>
    <col min="6153" max="6153" width="13.7265625" customWidth="1"/>
    <col min="6154" max="6157" width="0" hidden="1" customWidth="1"/>
    <col min="6158" max="6158" width="14.453125" bestFit="1" customWidth="1"/>
    <col min="6159" max="6163" width="0" hidden="1" customWidth="1"/>
    <col min="6164" max="6164" width="14.453125" customWidth="1"/>
    <col min="6165" max="6168" width="0" hidden="1" customWidth="1"/>
    <col min="6169" max="6169" width="15.26953125" bestFit="1" customWidth="1"/>
    <col min="6170" max="6171" width="0" hidden="1" customWidth="1"/>
    <col min="6172" max="6172" width="14" customWidth="1"/>
    <col min="6173" max="6173" width="10.7265625" customWidth="1"/>
    <col min="6366" max="6367" width="2.7265625" customWidth="1"/>
    <col min="6368" max="6368" width="4.7265625" customWidth="1"/>
    <col min="6369" max="6369" width="38.453125" bestFit="1" customWidth="1"/>
    <col min="6370" max="6370" width="8.26953125" customWidth="1"/>
    <col min="6372" max="6372" width="8.54296875" customWidth="1"/>
    <col min="6373" max="6373" width="9" customWidth="1"/>
    <col min="6374" max="6376" width="0" hidden="1" customWidth="1"/>
    <col min="6377" max="6377" width="13.7265625" customWidth="1"/>
    <col min="6378" max="6381" width="0" hidden="1" customWidth="1"/>
    <col min="6382" max="6382" width="13.7265625" customWidth="1"/>
    <col min="6383" max="6387" width="0" hidden="1" customWidth="1"/>
    <col min="6388" max="6388" width="14.453125" bestFit="1" customWidth="1"/>
    <col min="6389" max="6392" width="0" hidden="1" customWidth="1"/>
    <col min="6393" max="6393" width="14.453125" customWidth="1"/>
    <col min="6394" max="6397" width="0" hidden="1" customWidth="1"/>
    <col min="6398" max="6398" width="14" customWidth="1"/>
    <col min="6399" max="6403" width="0" hidden="1" customWidth="1"/>
    <col min="6404" max="6404" width="14" customWidth="1"/>
    <col min="6405" max="6408" width="0" hidden="1" customWidth="1"/>
    <col min="6409" max="6409" width="13.7265625" customWidth="1"/>
    <col min="6410" max="6413" width="0" hidden="1" customWidth="1"/>
    <col min="6414" max="6414" width="14.453125" bestFit="1" customWidth="1"/>
    <col min="6415" max="6419" width="0" hidden="1" customWidth="1"/>
    <col min="6420" max="6420" width="14.453125" customWidth="1"/>
    <col min="6421" max="6424" width="0" hidden="1" customWidth="1"/>
    <col min="6425" max="6425" width="15.26953125" bestFit="1" customWidth="1"/>
    <col min="6426" max="6427" width="0" hidden="1" customWidth="1"/>
    <col min="6428" max="6428" width="14" customWidth="1"/>
    <col min="6429" max="6429" width="10.7265625" customWidth="1"/>
    <col min="6622" max="6623" width="2.7265625" customWidth="1"/>
    <col min="6624" max="6624" width="4.7265625" customWidth="1"/>
    <col min="6625" max="6625" width="38.453125" bestFit="1" customWidth="1"/>
    <col min="6626" max="6626" width="8.26953125" customWidth="1"/>
    <col min="6628" max="6628" width="8.54296875" customWidth="1"/>
    <col min="6629" max="6629" width="9" customWidth="1"/>
    <col min="6630" max="6632" width="0" hidden="1" customWidth="1"/>
    <col min="6633" max="6633" width="13.7265625" customWidth="1"/>
    <col min="6634" max="6637" width="0" hidden="1" customWidth="1"/>
    <col min="6638" max="6638" width="13.7265625" customWidth="1"/>
    <col min="6639" max="6643" width="0" hidden="1" customWidth="1"/>
    <col min="6644" max="6644" width="14.453125" bestFit="1" customWidth="1"/>
    <col min="6645" max="6648" width="0" hidden="1" customWidth="1"/>
    <col min="6649" max="6649" width="14.453125" customWidth="1"/>
    <col min="6650" max="6653" width="0" hidden="1" customWidth="1"/>
    <col min="6654" max="6654" width="14" customWidth="1"/>
    <col min="6655" max="6659" width="0" hidden="1" customWidth="1"/>
    <col min="6660" max="6660" width="14" customWidth="1"/>
    <col min="6661" max="6664" width="0" hidden="1" customWidth="1"/>
    <col min="6665" max="6665" width="13.7265625" customWidth="1"/>
    <col min="6666" max="6669" width="0" hidden="1" customWidth="1"/>
    <col min="6670" max="6670" width="14.453125" bestFit="1" customWidth="1"/>
    <col min="6671" max="6675" width="0" hidden="1" customWidth="1"/>
    <col min="6676" max="6676" width="14.453125" customWidth="1"/>
    <col min="6677" max="6680" width="0" hidden="1" customWidth="1"/>
    <col min="6681" max="6681" width="15.26953125" bestFit="1" customWidth="1"/>
    <col min="6682" max="6683" width="0" hidden="1" customWidth="1"/>
    <col min="6684" max="6684" width="14" customWidth="1"/>
    <col min="6685" max="6685" width="10.7265625" customWidth="1"/>
    <col min="6878" max="6879" width="2.7265625" customWidth="1"/>
    <col min="6880" max="6880" width="4.7265625" customWidth="1"/>
    <col min="6881" max="6881" width="38.453125" bestFit="1" customWidth="1"/>
    <col min="6882" max="6882" width="8.26953125" customWidth="1"/>
    <col min="6884" max="6884" width="8.54296875" customWidth="1"/>
    <col min="6885" max="6885" width="9" customWidth="1"/>
    <col min="6886" max="6888" width="0" hidden="1" customWidth="1"/>
    <col min="6889" max="6889" width="13.7265625" customWidth="1"/>
    <col min="6890" max="6893" width="0" hidden="1" customWidth="1"/>
    <col min="6894" max="6894" width="13.7265625" customWidth="1"/>
    <col min="6895" max="6899" width="0" hidden="1" customWidth="1"/>
    <col min="6900" max="6900" width="14.453125" bestFit="1" customWidth="1"/>
    <col min="6901" max="6904" width="0" hidden="1" customWidth="1"/>
    <col min="6905" max="6905" width="14.453125" customWidth="1"/>
    <col min="6906" max="6909" width="0" hidden="1" customWidth="1"/>
    <col min="6910" max="6910" width="14" customWidth="1"/>
    <col min="6911" max="6915" width="0" hidden="1" customWidth="1"/>
    <col min="6916" max="6916" width="14" customWidth="1"/>
    <col min="6917" max="6920" width="0" hidden="1" customWidth="1"/>
    <col min="6921" max="6921" width="13.7265625" customWidth="1"/>
    <col min="6922" max="6925" width="0" hidden="1" customWidth="1"/>
    <col min="6926" max="6926" width="14.453125" bestFit="1" customWidth="1"/>
    <col min="6927" max="6931" width="0" hidden="1" customWidth="1"/>
    <col min="6932" max="6932" width="14.453125" customWidth="1"/>
    <col min="6933" max="6936" width="0" hidden="1" customWidth="1"/>
    <col min="6937" max="6937" width="15.26953125" bestFit="1" customWidth="1"/>
    <col min="6938" max="6939" width="0" hidden="1" customWidth="1"/>
    <col min="6940" max="6940" width="14" customWidth="1"/>
    <col min="6941" max="6941" width="10.7265625" customWidth="1"/>
    <col min="7134" max="7135" width="2.7265625" customWidth="1"/>
    <col min="7136" max="7136" width="4.7265625" customWidth="1"/>
    <col min="7137" max="7137" width="38.453125" bestFit="1" customWidth="1"/>
    <col min="7138" max="7138" width="8.26953125" customWidth="1"/>
    <col min="7140" max="7140" width="8.54296875" customWidth="1"/>
    <col min="7141" max="7141" width="9" customWidth="1"/>
    <col min="7142" max="7144" width="0" hidden="1" customWidth="1"/>
    <col min="7145" max="7145" width="13.7265625" customWidth="1"/>
    <col min="7146" max="7149" width="0" hidden="1" customWidth="1"/>
    <col min="7150" max="7150" width="13.7265625" customWidth="1"/>
    <col min="7151" max="7155" width="0" hidden="1" customWidth="1"/>
    <col min="7156" max="7156" width="14.453125" bestFit="1" customWidth="1"/>
    <col min="7157" max="7160" width="0" hidden="1" customWidth="1"/>
    <col min="7161" max="7161" width="14.453125" customWidth="1"/>
    <col min="7162" max="7165" width="0" hidden="1" customWidth="1"/>
    <col min="7166" max="7166" width="14" customWidth="1"/>
    <col min="7167" max="7171" width="0" hidden="1" customWidth="1"/>
    <col min="7172" max="7172" width="14" customWidth="1"/>
    <col min="7173" max="7176" width="0" hidden="1" customWidth="1"/>
    <col min="7177" max="7177" width="13.7265625" customWidth="1"/>
    <col min="7178" max="7181" width="0" hidden="1" customWidth="1"/>
    <col min="7182" max="7182" width="14.453125" bestFit="1" customWidth="1"/>
    <col min="7183" max="7187" width="0" hidden="1" customWidth="1"/>
    <col min="7188" max="7188" width="14.453125" customWidth="1"/>
    <col min="7189" max="7192" width="0" hidden="1" customWidth="1"/>
    <col min="7193" max="7193" width="15.26953125" bestFit="1" customWidth="1"/>
    <col min="7194" max="7195" width="0" hidden="1" customWidth="1"/>
    <col min="7196" max="7196" width="14" customWidth="1"/>
    <col min="7197" max="7197" width="10.7265625" customWidth="1"/>
    <col min="7390" max="7391" width="2.7265625" customWidth="1"/>
    <col min="7392" max="7392" width="4.7265625" customWidth="1"/>
    <col min="7393" max="7393" width="38.453125" bestFit="1" customWidth="1"/>
    <col min="7394" max="7394" width="8.26953125" customWidth="1"/>
    <col min="7396" max="7396" width="8.54296875" customWidth="1"/>
    <col min="7397" max="7397" width="9" customWidth="1"/>
    <col min="7398" max="7400" width="0" hidden="1" customWidth="1"/>
    <col min="7401" max="7401" width="13.7265625" customWidth="1"/>
    <col min="7402" max="7405" width="0" hidden="1" customWidth="1"/>
    <col min="7406" max="7406" width="13.7265625" customWidth="1"/>
    <col min="7407" max="7411" width="0" hidden="1" customWidth="1"/>
    <col min="7412" max="7412" width="14.453125" bestFit="1" customWidth="1"/>
    <col min="7413" max="7416" width="0" hidden="1" customWidth="1"/>
    <col min="7417" max="7417" width="14.453125" customWidth="1"/>
    <col min="7418" max="7421" width="0" hidden="1" customWidth="1"/>
    <col min="7422" max="7422" width="14" customWidth="1"/>
    <col min="7423" max="7427" width="0" hidden="1" customWidth="1"/>
    <col min="7428" max="7428" width="14" customWidth="1"/>
    <col min="7429" max="7432" width="0" hidden="1" customWidth="1"/>
    <col min="7433" max="7433" width="13.7265625" customWidth="1"/>
    <col min="7434" max="7437" width="0" hidden="1" customWidth="1"/>
    <col min="7438" max="7438" width="14.453125" bestFit="1" customWidth="1"/>
    <col min="7439" max="7443" width="0" hidden="1" customWidth="1"/>
    <col min="7444" max="7444" width="14.453125" customWidth="1"/>
    <col min="7445" max="7448" width="0" hidden="1" customWidth="1"/>
    <col min="7449" max="7449" width="15.26953125" bestFit="1" customWidth="1"/>
    <col min="7450" max="7451" width="0" hidden="1" customWidth="1"/>
    <col min="7452" max="7452" width="14" customWidth="1"/>
    <col min="7453" max="7453" width="10.7265625" customWidth="1"/>
    <col min="7646" max="7647" width="2.7265625" customWidth="1"/>
    <col min="7648" max="7648" width="4.7265625" customWidth="1"/>
    <col min="7649" max="7649" width="38.453125" bestFit="1" customWidth="1"/>
    <col min="7650" max="7650" width="8.26953125" customWidth="1"/>
    <col min="7652" max="7652" width="8.54296875" customWidth="1"/>
    <col min="7653" max="7653" width="9" customWidth="1"/>
    <col min="7654" max="7656" width="0" hidden="1" customWidth="1"/>
    <col min="7657" max="7657" width="13.7265625" customWidth="1"/>
    <col min="7658" max="7661" width="0" hidden="1" customWidth="1"/>
    <col min="7662" max="7662" width="13.7265625" customWidth="1"/>
    <col min="7663" max="7667" width="0" hidden="1" customWidth="1"/>
    <col min="7668" max="7668" width="14.453125" bestFit="1" customWidth="1"/>
    <col min="7669" max="7672" width="0" hidden="1" customWidth="1"/>
    <col min="7673" max="7673" width="14.453125" customWidth="1"/>
    <col min="7674" max="7677" width="0" hidden="1" customWidth="1"/>
    <col min="7678" max="7678" width="14" customWidth="1"/>
    <col min="7679" max="7683" width="0" hidden="1" customWidth="1"/>
    <col min="7684" max="7684" width="14" customWidth="1"/>
    <col min="7685" max="7688" width="0" hidden="1" customWidth="1"/>
    <col min="7689" max="7689" width="13.7265625" customWidth="1"/>
    <col min="7690" max="7693" width="0" hidden="1" customWidth="1"/>
    <col min="7694" max="7694" width="14.453125" bestFit="1" customWidth="1"/>
    <col min="7695" max="7699" width="0" hidden="1" customWidth="1"/>
    <col min="7700" max="7700" width="14.453125" customWidth="1"/>
    <col min="7701" max="7704" width="0" hidden="1" customWidth="1"/>
    <col min="7705" max="7705" width="15.26953125" bestFit="1" customWidth="1"/>
    <col min="7706" max="7707" width="0" hidden="1" customWidth="1"/>
    <col min="7708" max="7708" width="14" customWidth="1"/>
    <col min="7709" max="7709" width="10.7265625" customWidth="1"/>
    <col min="7902" max="7903" width="2.7265625" customWidth="1"/>
    <col min="7904" max="7904" width="4.7265625" customWidth="1"/>
    <col min="7905" max="7905" width="38.453125" bestFit="1" customWidth="1"/>
    <col min="7906" max="7906" width="8.26953125" customWidth="1"/>
    <col min="7908" max="7908" width="8.54296875" customWidth="1"/>
    <col min="7909" max="7909" width="9" customWidth="1"/>
    <col min="7910" max="7912" width="0" hidden="1" customWidth="1"/>
    <col min="7913" max="7913" width="13.7265625" customWidth="1"/>
    <col min="7914" max="7917" width="0" hidden="1" customWidth="1"/>
    <col min="7918" max="7918" width="13.7265625" customWidth="1"/>
    <col min="7919" max="7923" width="0" hidden="1" customWidth="1"/>
    <col min="7924" max="7924" width="14.453125" bestFit="1" customWidth="1"/>
    <col min="7925" max="7928" width="0" hidden="1" customWidth="1"/>
    <col min="7929" max="7929" width="14.453125" customWidth="1"/>
    <col min="7930" max="7933" width="0" hidden="1" customWidth="1"/>
    <col min="7934" max="7934" width="14" customWidth="1"/>
    <col min="7935" max="7939" width="0" hidden="1" customWidth="1"/>
    <col min="7940" max="7940" width="14" customWidth="1"/>
    <col min="7941" max="7944" width="0" hidden="1" customWidth="1"/>
    <col min="7945" max="7945" width="13.7265625" customWidth="1"/>
    <col min="7946" max="7949" width="0" hidden="1" customWidth="1"/>
    <col min="7950" max="7950" width="14.453125" bestFit="1" customWidth="1"/>
    <col min="7951" max="7955" width="0" hidden="1" customWidth="1"/>
    <col min="7956" max="7956" width="14.453125" customWidth="1"/>
    <col min="7957" max="7960" width="0" hidden="1" customWidth="1"/>
    <col min="7961" max="7961" width="15.26953125" bestFit="1" customWidth="1"/>
    <col min="7962" max="7963" width="0" hidden="1" customWidth="1"/>
    <col min="7964" max="7964" width="14" customWidth="1"/>
    <col min="7965" max="7965" width="10.7265625" customWidth="1"/>
    <col min="8158" max="8159" width="2.7265625" customWidth="1"/>
    <col min="8160" max="8160" width="4.7265625" customWidth="1"/>
    <col min="8161" max="8161" width="38.453125" bestFit="1" customWidth="1"/>
    <col min="8162" max="8162" width="8.26953125" customWidth="1"/>
    <col min="8164" max="8164" width="8.54296875" customWidth="1"/>
    <col min="8165" max="8165" width="9" customWidth="1"/>
    <col min="8166" max="8168" width="0" hidden="1" customWidth="1"/>
    <col min="8169" max="8169" width="13.7265625" customWidth="1"/>
    <col min="8170" max="8173" width="0" hidden="1" customWidth="1"/>
    <col min="8174" max="8174" width="13.7265625" customWidth="1"/>
    <col min="8175" max="8179" width="0" hidden="1" customWidth="1"/>
    <col min="8180" max="8180" width="14.453125" bestFit="1" customWidth="1"/>
    <col min="8181" max="8184" width="0" hidden="1" customWidth="1"/>
    <col min="8185" max="8185" width="14.453125" customWidth="1"/>
    <col min="8186" max="8189" width="0" hidden="1" customWidth="1"/>
    <col min="8190" max="8190" width="14" customWidth="1"/>
    <col min="8191" max="8195" width="0" hidden="1" customWidth="1"/>
    <col min="8196" max="8196" width="14" customWidth="1"/>
    <col min="8197" max="8200" width="0" hidden="1" customWidth="1"/>
    <col min="8201" max="8201" width="13.7265625" customWidth="1"/>
    <col min="8202" max="8205" width="0" hidden="1" customWidth="1"/>
    <col min="8206" max="8206" width="14.453125" bestFit="1" customWidth="1"/>
    <col min="8207" max="8211" width="0" hidden="1" customWidth="1"/>
    <col min="8212" max="8212" width="14.453125" customWidth="1"/>
    <col min="8213" max="8216" width="0" hidden="1" customWidth="1"/>
    <col min="8217" max="8217" width="15.26953125" bestFit="1" customWidth="1"/>
    <col min="8218" max="8219" width="0" hidden="1" customWidth="1"/>
    <col min="8220" max="8220" width="14" customWidth="1"/>
    <col min="8221" max="8221" width="10.7265625" customWidth="1"/>
    <col min="8414" max="8415" width="2.7265625" customWidth="1"/>
    <col min="8416" max="8416" width="4.7265625" customWidth="1"/>
    <col min="8417" max="8417" width="38.453125" bestFit="1" customWidth="1"/>
    <col min="8418" max="8418" width="8.26953125" customWidth="1"/>
    <col min="8420" max="8420" width="8.54296875" customWidth="1"/>
    <col min="8421" max="8421" width="9" customWidth="1"/>
    <col min="8422" max="8424" width="0" hidden="1" customWidth="1"/>
    <col min="8425" max="8425" width="13.7265625" customWidth="1"/>
    <col min="8426" max="8429" width="0" hidden="1" customWidth="1"/>
    <col min="8430" max="8430" width="13.7265625" customWidth="1"/>
    <col min="8431" max="8435" width="0" hidden="1" customWidth="1"/>
    <col min="8436" max="8436" width="14.453125" bestFit="1" customWidth="1"/>
    <col min="8437" max="8440" width="0" hidden="1" customWidth="1"/>
    <col min="8441" max="8441" width="14.453125" customWidth="1"/>
    <col min="8442" max="8445" width="0" hidden="1" customWidth="1"/>
    <col min="8446" max="8446" width="14" customWidth="1"/>
    <col min="8447" max="8451" width="0" hidden="1" customWidth="1"/>
    <col min="8452" max="8452" width="14" customWidth="1"/>
    <col min="8453" max="8456" width="0" hidden="1" customWidth="1"/>
    <col min="8457" max="8457" width="13.7265625" customWidth="1"/>
    <col min="8458" max="8461" width="0" hidden="1" customWidth="1"/>
    <col min="8462" max="8462" width="14.453125" bestFit="1" customWidth="1"/>
    <col min="8463" max="8467" width="0" hidden="1" customWidth="1"/>
    <col min="8468" max="8468" width="14.453125" customWidth="1"/>
    <col min="8469" max="8472" width="0" hidden="1" customWidth="1"/>
    <col min="8473" max="8473" width="15.26953125" bestFit="1" customWidth="1"/>
    <col min="8474" max="8475" width="0" hidden="1" customWidth="1"/>
    <col min="8476" max="8476" width="14" customWidth="1"/>
    <col min="8477" max="8477" width="10.7265625" customWidth="1"/>
    <col min="8670" max="8671" width="2.7265625" customWidth="1"/>
    <col min="8672" max="8672" width="4.7265625" customWidth="1"/>
    <col min="8673" max="8673" width="38.453125" bestFit="1" customWidth="1"/>
    <col min="8674" max="8674" width="8.26953125" customWidth="1"/>
    <col min="8676" max="8676" width="8.54296875" customWidth="1"/>
    <col min="8677" max="8677" width="9" customWidth="1"/>
    <col min="8678" max="8680" width="0" hidden="1" customWidth="1"/>
    <col min="8681" max="8681" width="13.7265625" customWidth="1"/>
    <col min="8682" max="8685" width="0" hidden="1" customWidth="1"/>
    <col min="8686" max="8686" width="13.7265625" customWidth="1"/>
    <col min="8687" max="8691" width="0" hidden="1" customWidth="1"/>
    <col min="8692" max="8692" width="14.453125" bestFit="1" customWidth="1"/>
    <col min="8693" max="8696" width="0" hidden="1" customWidth="1"/>
    <col min="8697" max="8697" width="14.453125" customWidth="1"/>
    <col min="8698" max="8701" width="0" hidden="1" customWidth="1"/>
    <col min="8702" max="8702" width="14" customWidth="1"/>
    <col min="8703" max="8707" width="0" hidden="1" customWidth="1"/>
    <col min="8708" max="8708" width="14" customWidth="1"/>
    <col min="8709" max="8712" width="0" hidden="1" customWidth="1"/>
    <col min="8713" max="8713" width="13.7265625" customWidth="1"/>
    <col min="8714" max="8717" width="0" hidden="1" customWidth="1"/>
    <col min="8718" max="8718" width="14.453125" bestFit="1" customWidth="1"/>
    <col min="8719" max="8723" width="0" hidden="1" customWidth="1"/>
    <col min="8724" max="8724" width="14.453125" customWidth="1"/>
    <col min="8725" max="8728" width="0" hidden="1" customWidth="1"/>
    <col min="8729" max="8729" width="15.26953125" bestFit="1" customWidth="1"/>
    <col min="8730" max="8731" width="0" hidden="1" customWidth="1"/>
    <col min="8732" max="8732" width="14" customWidth="1"/>
    <col min="8733" max="8733" width="10.7265625" customWidth="1"/>
    <col min="8926" max="8927" width="2.7265625" customWidth="1"/>
    <col min="8928" max="8928" width="4.7265625" customWidth="1"/>
    <col min="8929" max="8929" width="38.453125" bestFit="1" customWidth="1"/>
    <col min="8930" max="8930" width="8.26953125" customWidth="1"/>
    <col min="8932" max="8932" width="8.54296875" customWidth="1"/>
    <col min="8933" max="8933" width="9" customWidth="1"/>
    <col min="8934" max="8936" width="0" hidden="1" customWidth="1"/>
    <col min="8937" max="8937" width="13.7265625" customWidth="1"/>
    <col min="8938" max="8941" width="0" hidden="1" customWidth="1"/>
    <col min="8942" max="8942" width="13.7265625" customWidth="1"/>
    <col min="8943" max="8947" width="0" hidden="1" customWidth="1"/>
    <col min="8948" max="8948" width="14.453125" bestFit="1" customWidth="1"/>
    <col min="8949" max="8952" width="0" hidden="1" customWidth="1"/>
    <col min="8953" max="8953" width="14.453125" customWidth="1"/>
    <col min="8954" max="8957" width="0" hidden="1" customWidth="1"/>
    <col min="8958" max="8958" width="14" customWidth="1"/>
    <col min="8959" max="8963" width="0" hidden="1" customWidth="1"/>
    <col min="8964" max="8964" width="14" customWidth="1"/>
    <col min="8965" max="8968" width="0" hidden="1" customWidth="1"/>
    <col min="8969" max="8969" width="13.7265625" customWidth="1"/>
    <col min="8970" max="8973" width="0" hidden="1" customWidth="1"/>
    <col min="8974" max="8974" width="14.453125" bestFit="1" customWidth="1"/>
    <col min="8975" max="8979" width="0" hidden="1" customWidth="1"/>
    <col min="8980" max="8980" width="14.453125" customWidth="1"/>
    <col min="8981" max="8984" width="0" hidden="1" customWidth="1"/>
    <col min="8985" max="8985" width="15.26953125" bestFit="1" customWidth="1"/>
    <col min="8986" max="8987" width="0" hidden="1" customWidth="1"/>
    <col min="8988" max="8988" width="14" customWidth="1"/>
    <col min="8989" max="8989" width="10.7265625" customWidth="1"/>
    <col min="9182" max="9183" width="2.7265625" customWidth="1"/>
    <col min="9184" max="9184" width="4.7265625" customWidth="1"/>
    <col min="9185" max="9185" width="38.453125" bestFit="1" customWidth="1"/>
    <col min="9186" max="9186" width="8.26953125" customWidth="1"/>
    <col min="9188" max="9188" width="8.54296875" customWidth="1"/>
    <col min="9189" max="9189" width="9" customWidth="1"/>
    <col min="9190" max="9192" width="0" hidden="1" customWidth="1"/>
    <col min="9193" max="9193" width="13.7265625" customWidth="1"/>
    <col min="9194" max="9197" width="0" hidden="1" customWidth="1"/>
    <col min="9198" max="9198" width="13.7265625" customWidth="1"/>
    <col min="9199" max="9203" width="0" hidden="1" customWidth="1"/>
    <col min="9204" max="9204" width="14.453125" bestFit="1" customWidth="1"/>
    <col min="9205" max="9208" width="0" hidden="1" customWidth="1"/>
    <col min="9209" max="9209" width="14.453125" customWidth="1"/>
    <col min="9210" max="9213" width="0" hidden="1" customWidth="1"/>
    <col min="9214" max="9214" width="14" customWidth="1"/>
    <col min="9215" max="9219" width="0" hidden="1" customWidth="1"/>
    <col min="9220" max="9220" width="14" customWidth="1"/>
    <col min="9221" max="9224" width="0" hidden="1" customWidth="1"/>
    <col min="9225" max="9225" width="13.7265625" customWidth="1"/>
    <col min="9226" max="9229" width="0" hidden="1" customWidth="1"/>
    <col min="9230" max="9230" width="14.453125" bestFit="1" customWidth="1"/>
    <col min="9231" max="9235" width="0" hidden="1" customWidth="1"/>
    <col min="9236" max="9236" width="14.453125" customWidth="1"/>
    <col min="9237" max="9240" width="0" hidden="1" customWidth="1"/>
    <col min="9241" max="9241" width="15.26953125" bestFit="1" customWidth="1"/>
    <col min="9242" max="9243" width="0" hidden="1" customWidth="1"/>
    <col min="9244" max="9244" width="14" customWidth="1"/>
    <col min="9245" max="9245" width="10.7265625" customWidth="1"/>
    <col min="9438" max="9439" width="2.7265625" customWidth="1"/>
    <col min="9440" max="9440" width="4.7265625" customWidth="1"/>
    <col min="9441" max="9441" width="38.453125" bestFit="1" customWidth="1"/>
    <col min="9442" max="9442" width="8.26953125" customWidth="1"/>
    <col min="9444" max="9444" width="8.54296875" customWidth="1"/>
    <col min="9445" max="9445" width="9" customWidth="1"/>
    <col min="9446" max="9448" width="0" hidden="1" customWidth="1"/>
    <col min="9449" max="9449" width="13.7265625" customWidth="1"/>
    <col min="9450" max="9453" width="0" hidden="1" customWidth="1"/>
    <col min="9454" max="9454" width="13.7265625" customWidth="1"/>
    <col min="9455" max="9459" width="0" hidden="1" customWidth="1"/>
    <col min="9460" max="9460" width="14.453125" bestFit="1" customWidth="1"/>
    <col min="9461" max="9464" width="0" hidden="1" customWidth="1"/>
    <col min="9465" max="9465" width="14.453125" customWidth="1"/>
    <col min="9466" max="9469" width="0" hidden="1" customWidth="1"/>
    <col min="9470" max="9470" width="14" customWidth="1"/>
    <col min="9471" max="9475" width="0" hidden="1" customWidth="1"/>
    <col min="9476" max="9476" width="14" customWidth="1"/>
    <col min="9477" max="9480" width="0" hidden="1" customWidth="1"/>
    <col min="9481" max="9481" width="13.7265625" customWidth="1"/>
    <col min="9482" max="9485" width="0" hidden="1" customWidth="1"/>
    <col min="9486" max="9486" width="14.453125" bestFit="1" customWidth="1"/>
    <col min="9487" max="9491" width="0" hidden="1" customWidth="1"/>
    <col min="9492" max="9492" width="14.453125" customWidth="1"/>
    <col min="9493" max="9496" width="0" hidden="1" customWidth="1"/>
    <col min="9497" max="9497" width="15.26953125" bestFit="1" customWidth="1"/>
    <col min="9498" max="9499" width="0" hidden="1" customWidth="1"/>
    <col min="9500" max="9500" width="14" customWidth="1"/>
    <col min="9501" max="9501" width="10.7265625" customWidth="1"/>
    <col min="9694" max="9695" width="2.7265625" customWidth="1"/>
    <col min="9696" max="9696" width="4.7265625" customWidth="1"/>
    <col min="9697" max="9697" width="38.453125" bestFit="1" customWidth="1"/>
    <col min="9698" max="9698" width="8.26953125" customWidth="1"/>
    <col min="9700" max="9700" width="8.54296875" customWidth="1"/>
    <col min="9701" max="9701" width="9" customWidth="1"/>
    <col min="9702" max="9704" width="0" hidden="1" customWidth="1"/>
    <col min="9705" max="9705" width="13.7265625" customWidth="1"/>
    <col min="9706" max="9709" width="0" hidden="1" customWidth="1"/>
    <col min="9710" max="9710" width="13.7265625" customWidth="1"/>
    <col min="9711" max="9715" width="0" hidden="1" customWidth="1"/>
    <col min="9716" max="9716" width="14.453125" bestFit="1" customWidth="1"/>
    <col min="9717" max="9720" width="0" hidden="1" customWidth="1"/>
    <col min="9721" max="9721" width="14.453125" customWidth="1"/>
    <col min="9722" max="9725" width="0" hidden="1" customWidth="1"/>
    <col min="9726" max="9726" width="14" customWidth="1"/>
    <col min="9727" max="9731" width="0" hidden="1" customWidth="1"/>
    <col min="9732" max="9732" width="14" customWidth="1"/>
    <col min="9733" max="9736" width="0" hidden="1" customWidth="1"/>
    <col min="9737" max="9737" width="13.7265625" customWidth="1"/>
    <col min="9738" max="9741" width="0" hidden="1" customWidth="1"/>
    <col min="9742" max="9742" width="14.453125" bestFit="1" customWidth="1"/>
    <col min="9743" max="9747" width="0" hidden="1" customWidth="1"/>
    <col min="9748" max="9748" width="14.453125" customWidth="1"/>
    <col min="9749" max="9752" width="0" hidden="1" customWidth="1"/>
    <col min="9753" max="9753" width="15.26953125" bestFit="1" customWidth="1"/>
    <col min="9754" max="9755" width="0" hidden="1" customWidth="1"/>
    <col min="9756" max="9756" width="14" customWidth="1"/>
    <col min="9757" max="9757" width="10.7265625" customWidth="1"/>
    <col min="9950" max="9951" width="2.7265625" customWidth="1"/>
    <col min="9952" max="9952" width="4.7265625" customWidth="1"/>
    <col min="9953" max="9953" width="38.453125" bestFit="1" customWidth="1"/>
    <col min="9954" max="9954" width="8.26953125" customWidth="1"/>
    <col min="9956" max="9956" width="8.54296875" customWidth="1"/>
    <col min="9957" max="9957" width="9" customWidth="1"/>
    <col min="9958" max="9960" width="0" hidden="1" customWidth="1"/>
    <col min="9961" max="9961" width="13.7265625" customWidth="1"/>
    <col min="9962" max="9965" width="0" hidden="1" customWidth="1"/>
    <col min="9966" max="9966" width="13.7265625" customWidth="1"/>
    <col min="9967" max="9971" width="0" hidden="1" customWidth="1"/>
    <col min="9972" max="9972" width="14.453125" bestFit="1" customWidth="1"/>
    <col min="9973" max="9976" width="0" hidden="1" customWidth="1"/>
    <col min="9977" max="9977" width="14.453125" customWidth="1"/>
    <col min="9978" max="9981" width="0" hidden="1" customWidth="1"/>
    <col min="9982" max="9982" width="14" customWidth="1"/>
    <col min="9983" max="9987" width="0" hidden="1" customWidth="1"/>
    <col min="9988" max="9988" width="14" customWidth="1"/>
    <col min="9989" max="9992" width="0" hidden="1" customWidth="1"/>
    <col min="9993" max="9993" width="13.7265625" customWidth="1"/>
    <col min="9994" max="9997" width="0" hidden="1" customWidth="1"/>
    <col min="9998" max="9998" width="14.453125" bestFit="1" customWidth="1"/>
    <col min="9999" max="10003" width="0" hidden="1" customWidth="1"/>
    <col min="10004" max="10004" width="14.453125" customWidth="1"/>
    <col min="10005" max="10008" width="0" hidden="1" customWidth="1"/>
    <col min="10009" max="10009" width="15.26953125" bestFit="1" customWidth="1"/>
    <col min="10010" max="10011" width="0" hidden="1" customWidth="1"/>
    <col min="10012" max="10012" width="14" customWidth="1"/>
    <col min="10013" max="10013" width="10.7265625" customWidth="1"/>
    <col min="10206" max="10207" width="2.7265625" customWidth="1"/>
    <col min="10208" max="10208" width="4.7265625" customWidth="1"/>
    <col min="10209" max="10209" width="38.453125" bestFit="1" customWidth="1"/>
    <col min="10210" max="10210" width="8.26953125" customWidth="1"/>
    <col min="10212" max="10212" width="8.54296875" customWidth="1"/>
    <col min="10213" max="10213" width="9" customWidth="1"/>
    <col min="10214" max="10216" width="0" hidden="1" customWidth="1"/>
    <col min="10217" max="10217" width="13.7265625" customWidth="1"/>
    <col min="10218" max="10221" width="0" hidden="1" customWidth="1"/>
    <col min="10222" max="10222" width="13.7265625" customWidth="1"/>
    <col min="10223" max="10227" width="0" hidden="1" customWidth="1"/>
    <col min="10228" max="10228" width="14.453125" bestFit="1" customWidth="1"/>
    <col min="10229" max="10232" width="0" hidden="1" customWidth="1"/>
    <col min="10233" max="10233" width="14.453125" customWidth="1"/>
    <col min="10234" max="10237" width="0" hidden="1" customWidth="1"/>
    <col min="10238" max="10238" width="14" customWidth="1"/>
    <col min="10239" max="10243" width="0" hidden="1" customWidth="1"/>
    <col min="10244" max="10244" width="14" customWidth="1"/>
    <col min="10245" max="10248" width="0" hidden="1" customWidth="1"/>
    <col min="10249" max="10249" width="13.7265625" customWidth="1"/>
    <col min="10250" max="10253" width="0" hidden="1" customWidth="1"/>
    <col min="10254" max="10254" width="14.453125" bestFit="1" customWidth="1"/>
    <col min="10255" max="10259" width="0" hidden="1" customWidth="1"/>
    <col min="10260" max="10260" width="14.453125" customWidth="1"/>
    <col min="10261" max="10264" width="0" hidden="1" customWidth="1"/>
    <col min="10265" max="10265" width="15.26953125" bestFit="1" customWidth="1"/>
    <col min="10266" max="10267" width="0" hidden="1" customWidth="1"/>
    <col min="10268" max="10268" width="14" customWidth="1"/>
    <col min="10269" max="10269" width="10.7265625" customWidth="1"/>
    <col min="10462" max="10463" width="2.7265625" customWidth="1"/>
    <col min="10464" max="10464" width="4.7265625" customWidth="1"/>
    <col min="10465" max="10465" width="38.453125" bestFit="1" customWidth="1"/>
    <col min="10466" max="10466" width="8.26953125" customWidth="1"/>
    <col min="10468" max="10468" width="8.54296875" customWidth="1"/>
    <col min="10469" max="10469" width="9" customWidth="1"/>
    <col min="10470" max="10472" width="0" hidden="1" customWidth="1"/>
    <col min="10473" max="10473" width="13.7265625" customWidth="1"/>
    <col min="10474" max="10477" width="0" hidden="1" customWidth="1"/>
    <col min="10478" max="10478" width="13.7265625" customWidth="1"/>
    <col min="10479" max="10483" width="0" hidden="1" customWidth="1"/>
    <col min="10484" max="10484" width="14.453125" bestFit="1" customWidth="1"/>
    <col min="10485" max="10488" width="0" hidden="1" customWidth="1"/>
    <col min="10489" max="10489" width="14.453125" customWidth="1"/>
    <col min="10490" max="10493" width="0" hidden="1" customWidth="1"/>
    <col min="10494" max="10494" width="14" customWidth="1"/>
    <col min="10495" max="10499" width="0" hidden="1" customWidth="1"/>
    <col min="10500" max="10500" width="14" customWidth="1"/>
    <col min="10501" max="10504" width="0" hidden="1" customWidth="1"/>
    <col min="10505" max="10505" width="13.7265625" customWidth="1"/>
    <col min="10506" max="10509" width="0" hidden="1" customWidth="1"/>
    <col min="10510" max="10510" width="14.453125" bestFit="1" customWidth="1"/>
    <col min="10511" max="10515" width="0" hidden="1" customWidth="1"/>
    <col min="10516" max="10516" width="14.453125" customWidth="1"/>
    <col min="10517" max="10520" width="0" hidden="1" customWidth="1"/>
    <col min="10521" max="10521" width="15.26953125" bestFit="1" customWidth="1"/>
    <col min="10522" max="10523" width="0" hidden="1" customWidth="1"/>
    <col min="10524" max="10524" width="14" customWidth="1"/>
    <col min="10525" max="10525" width="10.7265625" customWidth="1"/>
    <col min="10718" max="10719" width="2.7265625" customWidth="1"/>
    <col min="10720" max="10720" width="4.7265625" customWidth="1"/>
    <col min="10721" max="10721" width="38.453125" bestFit="1" customWidth="1"/>
    <col min="10722" max="10722" width="8.26953125" customWidth="1"/>
    <col min="10724" max="10724" width="8.54296875" customWidth="1"/>
    <col min="10725" max="10725" width="9" customWidth="1"/>
    <col min="10726" max="10728" width="0" hidden="1" customWidth="1"/>
    <col min="10729" max="10729" width="13.7265625" customWidth="1"/>
    <col min="10730" max="10733" width="0" hidden="1" customWidth="1"/>
    <col min="10734" max="10734" width="13.7265625" customWidth="1"/>
    <col min="10735" max="10739" width="0" hidden="1" customWidth="1"/>
    <col min="10740" max="10740" width="14.453125" bestFit="1" customWidth="1"/>
    <col min="10741" max="10744" width="0" hidden="1" customWidth="1"/>
    <col min="10745" max="10745" width="14.453125" customWidth="1"/>
    <col min="10746" max="10749" width="0" hidden="1" customWidth="1"/>
    <col min="10750" max="10750" width="14" customWidth="1"/>
    <col min="10751" max="10755" width="0" hidden="1" customWidth="1"/>
    <col min="10756" max="10756" width="14" customWidth="1"/>
    <col min="10757" max="10760" width="0" hidden="1" customWidth="1"/>
    <col min="10761" max="10761" width="13.7265625" customWidth="1"/>
    <col min="10762" max="10765" width="0" hidden="1" customWidth="1"/>
    <col min="10766" max="10766" width="14.453125" bestFit="1" customWidth="1"/>
    <col min="10767" max="10771" width="0" hidden="1" customWidth="1"/>
    <col min="10772" max="10772" width="14.453125" customWidth="1"/>
    <col min="10773" max="10776" width="0" hidden="1" customWidth="1"/>
    <col min="10777" max="10777" width="15.26953125" bestFit="1" customWidth="1"/>
    <col min="10778" max="10779" width="0" hidden="1" customWidth="1"/>
    <col min="10780" max="10780" width="14" customWidth="1"/>
    <col min="10781" max="10781" width="10.7265625" customWidth="1"/>
    <col min="10974" max="10975" width="2.7265625" customWidth="1"/>
    <col min="10976" max="10976" width="4.7265625" customWidth="1"/>
    <col min="10977" max="10977" width="38.453125" bestFit="1" customWidth="1"/>
    <col min="10978" max="10978" width="8.26953125" customWidth="1"/>
    <col min="10980" max="10980" width="8.54296875" customWidth="1"/>
    <col min="10981" max="10981" width="9" customWidth="1"/>
    <col min="10982" max="10984" width="0" hidden="1" customWidth="1"/>
    <col min="10985" max="10985" width="13.7265625" customWidth="1"/>
    <col min="10986" max="10989" width="0" hidden="1" customWidth="1"/>
    <col min="10990" max="10990" width="13.7265625" customWidth="1"/>
    <col min="10991" max="10995" width="0" hidden="1" customWidth="1"/>
    <col min="10996" max="10996" width="14.453125" bestFit="1" customWidth="1"/>
    <col min="10997" max="11000" width="0" hidden="1" customWidth="1"/>
    <col min="11001" max="11001" width="14.453125" customWidth="1"/>
    <col min="11002" max="11005" width="0" hidden="1" customWidth="1"/>
    <col min="11006" max="11006" width="14" customWidth="1"/>
    <col min="11007" max="11011" width="0" hidden="1" customWidth="1"/>
    <col min="11012" max="11012" width="14" customWidth="1"/>
    <col min="11013" max="11016" width="0" hidden="1" customWidth="1"/>
    <col min="11017" max="11017" width="13.7265625" customWidth="1"/>
    <col min="11018" max="11021" width="0" hidden="1" customWidth="1"/>
    <col min="11022" max="11022" width="14.453125" bestFit="1" customWidth="1"/>
    <col min="11023" max="11027" width="0" hidden="1" customWidth="1"/>
    <col min="11028" max="11028" width="14.453125" customWidth="1"/>
    <col min="11029" max="11032" width="0" hidden="1" customWidth="1"/>
    <col min="11033" max="11033" width="15.26953125" bestFit="1" customWidth="1"/>
    <col min="11034" max="11035" width="0" hidden="1" customWidth="1"/>
    <col min="11036" max="11036" width="14" customWidth="1"/>
    <col min="11037" max="11037" width="10.7265625" customWidth="1"/>
    <col min="11230" max="11231" width="2.7265625" customWidth="1"/>
    <col min="11232" max="11232" width="4.7265625" customWidth="1"/>
    <col min="11233" max="11233" width="38.453125" bestFit="1" customWidth="1"/>
    <col min="11234" max="11234" width="8.26953125" customWidth="1"/>
    <col min="11236" max="11236" width="8.54296875" customWidth="1"/>
    <col min="11237" max="11237" width="9" customWidth="1"/>
    <col min="11238" max="11240" width="0" hidden="1" customWidth="1"/>
    <col min="11241" max="11241" width="13.7265625" customWidth="1"/>
    <col min="11242" max="11245" width="0" hidden="1" customWidth="1"/>
    <col min="11246" max="11246" width="13.7265625" customWidth="1"/>
    <col min="11247" max="11251" width="0" hidden="1" customWidth="1"/>
    <col min="11252" max="11252" width="14.453125" bestFit="1" customWidth="1"/>
    <col min="11253" max="11256" width="0" hidden="1" customWidth="1"/>
    <col min="11257" max="11257" width="14.453125" customWidth="1"/>
    <col min="11258" max="11261" width="0" hidden="1" customWidth="1"/>
    <col min="11262" max="11262" width="14" customWidth="1"/>
    <col min="11263" max="11267" width="0" hidden="1" customWidth="1"/>
    <col min="11268" max="11268" width="14" customWidth="1"/>
    <col min="11269" max="11272" width="0" hidden="1" customWidth="1"/>
    <col min="11273" max="11273" width="13.7265625" customWidth="1"/>
    <col min="11274" max="11277" width="0" hidden="1" customWidth="1"/>
    <col min="11278" max="11278" width="14.453125" bestFit="1" customWidth="1"/>
    <col min="11279" max="11283" width="0" hidden="1" customWidth="1"/>
    <col min="11284" max="11284" width="14.453125" customWidth="1"/>
    <col min="11285" max="11288" width="0" hidden="1" customWidth="1"/>
    <col min="11289" max="11289" width="15.26953125" bestFit="1" customWidth="1"/>
    <col min="11290" max="11291" width="0" hidden="1" customWidth="1"/>
    <col min="11292" max="11292" width="14" customWidth="1"/>
    <col min="11293" max="11293" width="10.7265625" customWidth="1"/>
    <col min="11486" max="11487" width="2.7265625" customWidth="1"/>
    <col min="11488" max="11488" width="4.7265625" customWidth="1"/>
    <col min="11489" max="11489" width="38.453125" bestFit="1" customWidth="1"/>
    <col min="11490" max="11490" width="8.26953125" customWidth="1"/>
    <col min="11492" max="11492" width="8.54296875" customWidth="1"/>
    <col min="11493" max="11493" width="9" customWidth="1"/>
    <col min="11494" max="11496" width="0" hidden="1" customWidth="1"/>
    <col min="11497" max="11497" width="13.7265625" customWidth="1"/>
    <col min="11498" max="11501" width="0" hidden="1" customWidth="1"/>
    <col min="11502" max="11502" width="13.7265625" customWidth="1"/>
    <col min="11503" max="11507" width="0" hidden="1" customWidth="1"/>
    <col min="11508" max="11508" width="14.453125" bestFit="1" customWidth="1"/>
    <col min="11509" max="11512" width="0" hidden="1" customWidth="1"/>
    <col min="11513" max="11513" width="14.453125" customWidth="1"/>
    <col min="11514" max="11517" width="0" hidden="1" customWidth="1"/>
    <col min="11518" max="11518" width="14" customWidth="1"/>
    <col min="11519" max="11523" width="0" hidden="1" customWidth="1"/>
    <col min="11524" max="11524" width="14" customWidth="1"/>
    <col min="11525" max="11528" width="0" hidden="1" customWidth="1"/>
    <col min="11529" max="11529" width="13.7265625" customWidth="1"/>
    <col min="11530" max="11533" width="0" hidden="1" customWidth="1"/>
    <col min="11534" max="11534" width="14.453125" bestFit="1" customWidth="1"/>
    <col min="11535" max="11539" width="0" hidden="1" customWidth="1"/>
    <col min="11540" max="11540" width="14.453125" customWidth="1"/>
    <col min="11541" max="11544" width="0" hidden="1" customWidth="1"/>
    <col min="11545" max="11545" width="15.26953125" bestFit="1" customWidth="1"/>
    <col min="11546" max="11547" width="0" hidden="1" customWidth="1"/>
    <col min="11548" max="11548" width="14" customWidth="1"/>
    <col min="11549" max="11549" width="10.7265625" customWidth="1"/>
    <col min="11742" max="11743" width="2.7265625" customWidth="1"/>
    <col min="11744" max="11744" width="4.7265625" customWidth="1"/>
    <col min="11745" max="11745" width="38.453125" bestFit="1" customWidth="1"/>
    <col min="11746" max="11746" width="8.26953125" customWidth="1"/>
    <col min="11748" max="11748" width="8.54296875" customWidth="1"/>
    <col min="11749" max="11749" width="9" customWidth="1"/>
    <col min="11750" max="11752" width="0" hidden="1" customWidth="1"/>
    <col min="11753" max="11753" width="13.7265625" customWidth="1"/>
    <col min="11754" max="11757" width="0" hidden="1" customWidth="1"/>
    <col min="11758" max="11758" width="13.7265625" customWidth="1"/>
    <col min="11759" max="11763" width="0" hidden="1" customWidth="1"/>
    <col min="11764" max="11764" width="14.453125" bestFit="1" customWidth="1"/>
    <col min="11765" max="11768" width="0" hidden="1" customWidth="1"/>
    <col min="11769" max="11769" width="14.453125" customWidth="1"/>
    <col min="11770" max="11773" width="0" hidden="1" customWidth="1"/>
    <col min="11774" max="11774" width="14" customWidth="1"/>
    <col min="11775" max="11779" width="0" hidden="1" customWidth="1"/>
    <col min="11780" max="11780" width="14" customWidth="1"/>
    <col min="11781" max="11784" width="0" hidden="1" customWidth="1"/>
    <col min="11785" max="11785" width="13.7265625" customWidth="1"/>
    <col min="11786" max="11789" width="0" hidden="1" customWidth="1"/>
    <col min="11790" max="11790" width="14.453125" bestFit="1" customWidth="1"/>
    <col min="11791" max="11795" width="0" hidden="1" customWidth="1"/>
    <col min="11796" max="11796" width="14.453125" customWidth="1"/>
    <col min="11797" max="11800" width="0" hidden="1" customWidth="1"/>
    <col min="11801" max="11801" width="15.26953125" bestFit="1" customWidth="1"/>
    <col min="11802" max="11803" width="0" hidden="1" customWidth="1"/>
    <col min="11804" max="11804" width="14" customWidth="1"/>
    <col min="11805" max="11805" width="10.7265625" customWidth="1"/>
    <col min="11998" max="11999" width="2.7265625" customWidth="1"/>
    <col min="12000" max="12000" width="4.7265625" customWidth="1"/>
    <col min="12001" max="12001" width="38.453125" bestFit="1" customWidth="1"/>
    <col min="12002" max="12002" width="8.26953125" customWidth="1"/>
    <col min="12004" max="12004" width="8.54296875" customWidth="1"/>
    <col min="12005" max="12005" width="9" customWidth="1"/>
    <col min="12006" max="12008" width="0" hidden="1" customWidth="1"/>
    <col min="12009" max="12009" width="13.7265625" customWidth="1"/>
    <col min="12010" max="12013" width="0" hidden="1" customWidth="1"/>
    <col min="12014" max="12014" width="13.7265625" customWidth="1"/>
    <col min="12015" max="12019" width="0" hidden="1" customWidth="1"/>
    <col min="12020" max="12020" width="14.453125" bestFit="1" customWidth="1"/>
    <col min="12021" max="12024" width="0" hidden="1" customWidth="1"/>
    <col min="12025" max="12025" width="14.453125" customWidth="1"/>
    <col min="12026" max="12029" width="0" hidden="1" customWidth="1"/>
    <col min="12030" max="12030" width="14" customWidth="1"/>
    <col min="12031" max="12035" width="0" hidden="1" customWidth="1"/>
    <col min="12036" max="12036" width="14" customWidth="1"/>
    <col min="12037" max="12040" width="0" hidden="1" customWidth="1"/>
    <col min="12041" max="12041" width="13.7265625" customWidth="1"/>
    <col min="12042" max="12045" width="0" hidden="1" customWidth="1"/>
    <col min="12046" max="12046" width="14.453125" bestFit="1" customWidth="1"/>
    <col min="12047" max="12051" width="0" hidden="1" customWidth="1"/>
    <col min="12052" max="12052" width="14.453125" customWidth="1"/>
    <col min="12053" max="12056" width="0" hidden="1" customWidth="1"/>
    <col min="12057" max="12057" width="15.26953125" bestFit="1" customWidth="1"/>
    <col min="12058" max="12059" width="0" hidden="1" customWidth="1"/>
    <col min="12060" max="12060" width="14" customWidth="1"/>
    <col min="12061" max="12061" width="10.7265625" customWidth="1"/>
    <col min="12254" max="12255" width="2.7265625" customWidth="1"/>
    <col min="12256" max="12256" width="4.7265625" customWidth="1"/>
    <col min="12257" max="12257" width="38.453125" bestFit="1" customWidth="1"/>
    <col min="12258" max="12258" width="8.26953125" customWidth="1"/>
    <col min="12260" max="12260" width="8.54296875" customWidth="1"/>
    <col min="12261" max="12261" width="9" customWidth="1"/>
    <col min="12262" max="12264" width="0" hidden="1" customWidth="1"/>
    <col min="12265" max="12265" width="13.7265625" customWidth="1"/>
    <col min="12266" max="12269" width="0" hidden="1" customWidth="1"/>
    <col min="12270" max="12270" width="13.7265625" customWidth="1"/>
    <col min="12271" max="12275" width="0" hidden="1" customWidth="1"/>
    <col min="12276" max="12276" width="14.453125" bestFit="1" customWidth="1"/>
    <col min="12277" max="12280" width="0" hidden="1" customWidth="1"/>
    <col min="12281" max="12281" width="14.453125" customWidth="1"/>
    <col min="12282" max="12285" width="0" hidden="1" customWidth="1"/>
    <col min="12286" max="12286" width="14" customWidth="1"/>
    <col min="12287" max="12291" width="0" hidden="1" customWidth="1"/>
    <col min="12292" max="12292" width="14" customWidth="1"/>
    <col min="12293" max="12296" width="0" hidden="1" customWidth="1"/>
    <col min="12297" max="12297" width="13.7265625" customWidth="1"/>
    <col min="12298" max="12301" width="0" hidden="1" customWidth="1"/>
    <col min="12302" max="12302" width="14.453125" bestFit="1" customWidth="1"/>
    <col min="12303" max="12307" width="0" hidden="1" customWidth="1"/>
    <col min="12308" max="12308" width="14.453125" customWidth="1"/>
    <col min="12309" max="12312" width="0" hidden="1" customWidth="1"/>
    <col min="12313" max="12313" width="15.26953125" bestFit="1" customWidth="1"/>
    <col min="12314" max="12315" width="0" hidden="1" customWidth="1"/>
    <col min="12316" max="12316" width="14" customWidth="1"/>
    <col min="12317" max="12317" width="10.7265625" customWidth="1"/>
    <col min="12510" max="12511" width="2.7265625" customWidth="1"/>
    <col min="12512" max="12512" width="4.7265625" customWidth="1"/>
    <col min="12513" max="12513" width="38.453125" bestFit="1" customWidth="1"/>
    <col min="12514" max="12514" width="8.26953125" customWidth="1"/>
    <col min="12516" max="12516" width="8.54296875" customWidth="1"/>
    <col min="12517" max="12517" width="9" customWidth="1"/>
    <col min="12518" max="12520" width="0" hidden="1" customWidth="1"/>
    <col min="12521" max="12521" width="13.7265625" customWidth="1"/>
    <col min="12522" max="12525" width="0" hidden="1" customWidth="1"/>
    <col min="12526" max="12526" width="13.7265625" customWidth="1"/>
    <col min="12527" max="12531" width="0" hidden="1" customWidth="1"/>
    <col min="12532" max="12532" width="14.453125" bestFit="1" customWidth="1"/>
    <col min="12533" max="12536" width="0" hidden="1" customWidth="1"/>
    <col min="12537" max="12537" width="14.453125" customWidth="1"/>
    <col min="12538" max="12541" width="0" hidden="1" customWidth="1"/>
    <col min="12542" max="12542" width="14" customWidth="1"/>
    <col min="12543" max="12547" width="0" hidden="1" customWidth="1"/>
    <col min="12548" max="12548" width="14" customWidth="1"/>
    <col min="12549" max="12552" width="0" hidden="1" customWidth="1"/>
    <col min="12553" max="12553" width="13.7265625" customWidth="1"/>
    <col min="12554" max="12557" width="0" hidden="1" customWidth="1"/>
    <col min="12558" max="12558" width="14.453125" bestFit="1" customWidth="1"/>
    <col min="12559" max="12563" width="0" hidden="1" customWidth="1"/>
    <col min="12564" max="12564" width="14.453125" customWidth="1"/>
    <col min="12565" max="12568" width="0" hidden="1" customWidth="1"/>
    <col min="12569" max="12569" width="15.26953125" bestFit="1" customWidth="1"/>
    <col min="12570" max="12571" width="0" hidden="1" customWidth="1"/>
    <col min="12572" max="12572" width="14" customWidth="1"/>
    <col min="12573" max="12573" width="10.7265625" customWidth="1"/>
    <col min="12766" max="12767" width="2.7265625" customWidth="1"/>
    <col min="12768" max="12768" width="4.7265625" customWidth="1"/>
    <col min="12769" max="12769" width="38.453125" bestFit="1" customWidth="1"/>
    <col min="12770" max="12770" width="8.26953125" customWidth="1"/>
    <col min="12772" max="12772" width="8.54296875" customWidth="1"/>
    <col min="12773" max="12773" width="9" customWidth="1"/>
    <col min="12774" max="12776" width="0" hidden="1" customWidth="1"/>
    <col min="12777" max="12777" width="13.7265625" customWidth="1"/>
    <col min="12778" max="12781" width="0" hidden="1" customWidth="1"/>
    <col min="12782" max="12782" width="13.7265625" customWidth="1"/>
    <col min="12783" max="12787" width="0" hidden="1" customWidth="1"/>
    <col min="12788" max="12788" width="14.453125" bestFit="1" customWidth="1"/>
    <col min="12789" max="12792" width="0" hidden="1" customWidth="1"/>
    <col min="12793" max="12793" width="14.453125" customWidth="1"/>
    <col min="12794" max="12797" width="0" hidden="1" customWidth="1"/>
    <col min="12798" max="12798" width="14" customWidth="1"/>
    <col min="12799" max="12803" width="0" hidden="1" customWidth="1"/>
    <col min="12804" max="12804" width="14" customWidth="1"/>
    <col min="12805" max="12808" width="0" hidden="1" customWidth="1"/>
    <col min="12809" max="12809" width="13.7265625" customWidth="1"/>
    <col min="12810" max="12813" width="0" hidden="1" customWidth="1"/>
    <col min="12814" max="12814" width="14.453125" bestFit="1" customWidth="1"/>
    <col min="12815" max="12819" width="0" hidden="1" customWidth="1"/>
    <col min="12820" max="12820" width="14.453125" customWidth="1"/>
    <col min="12821" max="12824" width="0" hidden="1" customWidth="1"/>
    <col min="12825" max="12825" width="15.26953125" bestFit="1" customWidth="1"/>
    <col min="12826" max="12827" width="0" hidden="1" customWidth="1"/>
    <col min="12828" max="12828" width="14" customWidth="1"/>
    <col min="12829" max="12829" width="10.7265625" customWidth="1"/>
    <col min="13022" max="13023" width="2.7265625" customWidth="1"/>
    <col min="13024" max="13024" width="4.7265625" customWidth="1"/>
    <col min="13025" max="13025" width="38.453125" bestFit="1" customWidth="1"/>
    <col min="13026" max="13026" width="8.26953125" customWidth="1"/>
    <col min="13028" max="13028" width="8.54296875" customWidth="1"/>
    <col min="13029" max="13029" width="9" customWidth="1"/>
    <col min="13030" max="13032" width="0" hidden="1" customWidth="1"/>
    <col min="13033" max="13033" width="13.7265625" customWidth="1"/>
    <col min="13034" max="13037" width="0" hidden="1" customWidth="1"/>
    <col min="13038" max="13038" width="13.7265625" customWidth="1"/>
    <col min="13039" max="13043" width="0" hidden="1" customWidth="1"/>
    <col min="13044" max="13044" width="14.453125" bestFit="1" customWidth="1"/>
    <col min="13045" max="13048" width="0" hidden="1" customWidth="1"/>
    <col min="13049" max="13049" width="14.453125" customWidth="1"/>
    <col min="13050" max="13053" width="0" hidden="1" customWidth="1"/>
    <col min="13054" max="13054" width="14" customWidth="1"/>
    <col min="13055" max="13059" width="0" hidden="1" customWidth="1"/>
    <col min="13060" max="13060" width="14" customWidth="1"/>
    <col min="13061" max="13064" width="0" hidden="1" customWidth="1"/>
    <col min="13065" max="13065" width="13.7265625" customWidth="1"/>
    <col min="13066" max="13069" width="0" hidden="1" customWidth="1"/>
    <col min="13070" max="13070" width="14.453125" bestFit="1" customWidth="1"/>
    <col min="13071" max="13075" width="0" hidden="1" customWidth="1"/>
    <col min="13076" max="13076" width="14.453125" customWidth="1"/>
    <col min="13077" max="13080" width="0" hidden="1" customWidth="1"/>
    <col min="13081" max="13081" width="15.26953125" bestFit="1" customWidth="1"/>
    <col min="13082" max="13083" width="0" hidden="1" customWidth="1"/>
    <col min="13084" max="13084" width="14" customWidth="1"/>
    <col min="13085" max="13085" width="10.7265625" customWidth="1"/>
    <col min="13278" max="13279" width="2.7265625" customWidth="1"/>
    <col min="13280" max="13280" width="4.7265625" customWidth="1"/>
    <col min="13281" max="13281" width="38.453125" bestFit="1" customWidth="1"/>
    <col min="13282" max="13282" width="8.26953125" customWidth="1"/>
    <col min="13284" max="13284" width="8.54296875" customWidth="1"/>
    <col min="13285" max="13285" width="9" customWidth="1"/>
    <col min="13286" max="13288" width="0" hidden="1" customWidth="1"/>
    <col min="13289" max="13289" width="13.7265625" customWidth="1"/>
    <col min="13290" max="13293" width="0" hidden="1" customWidth="1"/>
    <col min="13294" max="13294" width="13.7265625" customWidth="1"/>
    <col min="13295" max="13299" width="0" hidden="1" customWidth="1"/>
    <col min="13300" max="13300" width="14.453125" bestFit="1" customWidth="1"/>
    <col min="13301" max="13304" width="0" hidden="1" customWidth="1"/>
    <col min="13305" max="13305" width="14.453125" customWidth="1"/>
    <col min="13306" max="13309" width="0" hidden="1" customWidth="1"/>
    <col min="13310" max="13310" width="14" customWidth="1"/>
    <col min="13311" max="13315" width="0" hidden="1" customWidth="1"/>
    <col min="13316" max="13316" width="14" customWidth="1"/>
    <col min="13317" max="13320" width="0" hidden="1" customWidth="1"/>
    <col min="13321" max="13321" width="13.7265625" customWidth="1"/>
    <col min="13322" max="13325" width="0" hidden="1" customWidth="1"/>
    <col min="13326" max="13326" width="14.453125" bestFit="1" customWidth="1"/>
    <col min="13327" max="13331" width="0" hidden="1" customWidth="1"/>
    <col min="13332" max="13332" width="14.453125" customWidth="1"/>
    <col min="13333" max="13336" width="0" hidden="1" customWidth="1"/>
    <col min="13337" max="13337" width="15.26953125" bestFit="1" customWidth="1"/>
    <col min="13338" max="13339" width="0" hidden="1" customWidth="1"/>
    <col min="13340" max="13340" width="14" customWidth="1"/>
    <col min="13341" max="13341" width="10.7265625" customWidth="1"/>
    <col min="13534" max="13535" width="2.7265625" customWidth="1"/>
    <col min="13536" max="13536" width="4.7265625" customWidth="1"/>
    <col min="13537" max="13537" width="38.453125" bestFit="1" customWidth="1"/>
    <col min="13538" max="13538" width="8.26953125" customWidth="1"/>
    <col min="13540" max="13540" width="8.54296875" customWidth="1"/>
    <col min="13541" max="13541" width="9" customWidth="1"/>
    <col min="13542" max="13544" width="0" hidden="1" customWidth="1"/>
    <col min="13545" max="13545" width="13.7265625" customWidth="1"/>
    <col min="13546" max="13549" width="0" hidden="1" customWidth="1"/>
    <col min="13550" max="13550" width="13.7265625" customWidth="1"/>
    <col min="13551" max="13555" width="0" hidden="1" customWidth="1"/>
    <col min="13556" max="13556" width="14.453125" bestFit="1" customWidth="1"/>
    <col min="13557" max="13560" width="0" hidden="1" customWidth="1"/>
    <col min="13561" max="13561" width="14.453125" customWidth="1"/>
    <col min="13562" max="13565" width="0" hidden="1" customWidth="1"/>
    <col min="13566" max="13566" width="14" customWidth="1"/>
    <col min="13567" max="13571" width="0" hidden="1" customWidth="1"/>
    <col min="13572" max="13572" width="14" customWidth="1"/>
    <col min="13573" max="13576" width="0" hidden="1" customWidth="1"/>
    <col min="13577" max="13577" width="13.7265625" customWidth="1"/>
    <col min="13578" max="13581" width="0" hidden="1" customWidth="1"/>
    <col min="13582" max="13582" width="14.453125" bestFit="1" customWidth="1"/>
    <col min="13583" max="13587" width="0" hidden="1" customWidth="1"/>
    <col min="13588" max="13588" width="14.453125" customWidth="1"/>
    <col min="13589" max="13592" width="0" hidden="1" customWidth="1"/>
    <col min="13593" max="13593" width="15.26953125" bestFit="1" customWidth="1"/>
    <col min="13594" max="13595" width="0" hidden="1" customWidth="1"/>
    <col min="13596" max="13596" width="14" customWidth="1"/>
    <col min="13597" max="13597" width="10.7265625" customWidth="1"/>
    <col min="13790" max="13791" width="2.7265625" customWidth="1"/>
    <col min="13792" max="13792" width="4.7265625" customWidth="1"/>
    <col min="13793" max="13793" width="38.453125" bestFit="1" customWidth="1"/>
    <col min="13794" max="13794" width="8.26953125" customWidth="1"/>
    <col min="13796" max="13796" width="8.54296875" customWidth="1"/>
    <col min="13797" max="13797" width="9" customWidth="1"/>
    <col min="13798" max="13800" width="0" hidden="1" customWidth="1"/>
    <col min="13801" max="13801" width="13.7265625" customWidth="1"/>
    <col min="13802" max="13805" width="0" hidden="1" customWidth="1"/>
    <col min="13806" max="13806" width="13.7265625" customWidth="1"/>
    <col min="13807" max="13811" width="0" hidden="1" customWidth="1"/>
    <col min="13812" max="13812" width="14.453125" bestFit="1" customWidth="1"/>
    <col min="13813" max="13816" width="0" hidden="1" customWidth="1"/>
    <col min="13817" max="13817" width="14.453125" customWidth="1"/>
    <col min="13818" max="13821" width="0" hidden="1" customWidth="1"/>
    <col min="13822" max="13822" width="14" customWidth="1"/>
    <col min="13823" max="13827" width="0" hidden="1" customWidth="1"/>
    <col min="13828" max="13828" width="14" customWidth="1"/>
    <col min="13829" max="13832" width="0" hidden="1" customWidth="1"/>
    <col min="13833" max="13833" width="13.7265625" customWidth="1"/>
    <col min="13834" max="13837" width="0" hidden="1" customWidth="1"/>
    <col min="13838" max="13838" width="14.453125" bestFit="1" customWidth="1"/>
    <col min="13839" max="13843" width="0" hidden="1" customWidth="1"/>
    <col min="13844" max="13844" width="14.453125" customWidth="1"/>
    <col min="13845" max="13848" width="0" hidden="1" customWidth="1"/>
    <col min="13849" max="13849" width="15.26953125" bestFit="1" customWidth="1"/>
    <col min="13850" max="13851" width="0" hidden="1" customWidth="1"/>
    <col min="13852" max="13852" width="14" customWidth="1"/>
    <col min="13853" max="13853" width="10.7265625" customWidth="1"/>
    <col min="14046" max="14047" width="2.7265625" customWidth="1"/>
    <col min="14048" max="14048" width="4.7265625" customWidth="1"/>
    <col min="14049" max="14049" width="38.453125" bestFit="1" customWidth="1"/>
    <col min="14050" max="14050" width="8.26953125" customWidth="1"/>
    <col min="14052" max="14052" width="8.54296875" customWidth="1"/>
    <col min="14053" max="14053" width="9" customWidth="1"/>
    <col min="14054" max="14056" width="0" hidden="1" customWidth="1"/>
    <col min="14057" max="14057" width="13.7265625" customWidth="1"/>
    <col min="14058" max="14061" width="0" hidden="1" customWidth="1"/>
    <col min="14062" max="14062" width="13.7265625" customWidth="1"/>
    <col min="14063" max="14067" width="0" hidden="1" customWidth="1"/>
    <col min="14068" max="14068" width="14.453125" bestFit="1" customWidth="1"/>
    <col min="14069" max="14072" width="0" hidden="1" customWidth="1"/>
    <col min="14073" max="14073" width="14.453125" customWidth="1"/>
    <col min="14074" max="14077" width="0" hidden="1" customWidth="1"/>
    <col min="14078" max="14078" width="14" customWidth="1"/>
    <col min="14079" max="14083" width="0" hidden="1" customWidth="1"/>
    <col min="14084" max="14084" width="14" customWidth="1"/>
    <col min="14085" max="14088" width="0" hidden="1" customWidth="1"/>
    <col min="14089" max="14089" width="13.7265625" customWidth="1"/>
    <col min="14090" max="14093" width="0" hidden="1" customWidth="1"/>
    <col min="14094" max="14094" width="14.453125" bestFit="1" customWidth="1"/>
    <col min="14095" max="14099" width="0" hidden="1" customWidth="1"/>
    <col min="14100" max="14100" width="14.453125" customWidth="1"/>
    <col min="14101" max="14104" width="0" hidden="1" customWidth="1"/>
    <col min="14105" max="14105" width="15.26953125" bestFit="1" customWidth="1"/>
    <col min="14106" max="14107" width="0" hidden="1" customWidth="1"/>
    <col min="14108" max="14108" width="14" customWidth="1"/>
    <col min="14109" max="14109" width="10.7265625" customWidth="1"/>
    <col min="14302" max="14303" width="2.7265625" customWidth="1"/>
    <col min="14304" max="14304" width="4.7265625" customWidth="1"/>
    <col min="14305" max="14305" width="38.453125" bestFit="1" customWidth="1"/>
    <col min="14306" max="14306" width="8.26953125" customWidth="1"/>
    <col min="14308" max="14308" width="8.54296875" customWidth="1"/>
    <col min="14309" max="14309" width="9" customWidth="1"/>
    <col min="14310" max="14312" width="0" hidden="1" customWidth="1"/>
    <col min="14313" max="14313" width="13.7265625" customWidth="1"/>
    <col min="14314" max="14317" width="0" hidden="1" customWidth="1"/>
    <col min="14318" max="14318" width="13.7265625" customWidth="1"/>
    <col min="14319" max="14323" width="0" hidden="1" customWidth="1"/>
    <col min="14324" max="14324" width="14.453125" bestFit="1" customWidth="1"/>
    <col min="14325" max="14328" width="0" hidden="1" customWidth="1"/>
    <col min="14329" max="14329" width="14.453125" customWidth="1"/>
    <col min="14330" max="14333" width="0" hidden="1" customWidth="1"/>
    <col min="14334" max="14334" width="14" customWidth="1"/>
    <col min="14335" max="14339" width="0" hidden="1" customWidth="1"/>
    <col min="14340" max="14340" width="14" customWidth="1"/>
    <col min="14341" max="14344" width="0" hidden="1" customWidth="1"/>
    <col min="14345" max="14345" width="13.7265625" customWidth="1"/>
    <col min="14346" max="14349" width="0" hidden="1" customWidth="1"/>
    <col min="14350" max="14350" width="14.453125" bestFit="1" customWidth="1"/>
    <col min="14351" max="14355" width="0" hidden="1" customWidth="1"/>
    <col min="14356" max="14356" width="14.453125" customWidth="1"/>
    <col min="14357" max="14360" width="0" hidden="1" customWidth="1"/>
    <col min="14361" max="14361" width="15.26953125" bestFit="1" customWidth="1"/>
    <col min="14362" max="14363" width="0" hidden="1" customWidth="1"/>
    <col min="14364" max="14364" width="14" customWidth="1"/>
    <col min="14365" max="14365" width="10.7265625" customWidth="1"/>
    <col min="14558" max="14559" width="2.7265625" customWidth="1"/>
    <col min="14560" max="14560" width="4.7265625" customWidth="1"/>
    <col min="14561" max="14561" width="38.453125" bestFit="1" customWidth="1"/>
    <col min="14562" max="14562" width="8.26953125" customWidth="1"/>
    <col min="14564" max="14564" width="8.54296875" customWidth="1"/>
    <col min="14565" max="14565" width="9" customWidth="1"/>
    <col min="14566" max="14568" width="0" hidden="1" customWidth="1"/>
    <col min="14569" max="14569" width="13.7265625" customWidth="1"/>
    <col min="14570" max="14573" width="0" hidden="1" customWidth="1"/>
    <col min="14574" max="14574" width="13.7265625" customWidth="1"/>
    <col min="14575" max="14579" width="0" hidden="1" customWidth="1"/>
    <col min="14580" max="14580" width="14.453125" bestFit="1" customWidth="1"/>
    <col min="14581" max="14584" width="0" hidden="1" customWidth="1"/>
    <col min="14585" max="14585" width="14.453125" customWidth="1"/>
    <col min="14586" max="14589" width="0" hidden="1" customWidth="1"/>
    <col min="14590" max="14590" width="14" customWidth="1"/>
    <col min="14591" max="14595" width="0" hidden="1" customWidth="1"/>
    <col min="14596" max="14596" width="14" customWidth="1"/>
    <col min="14597" max="14600" width="0" hidden="1" customWidth="1"/>
    <col min="14601" max="14601" width="13.7265625" customWidth="1"/>
    <col min="14602" max="14605" width="0" hidden="1" customWidth="1"/>
    <col min="14606" max="14606" width="14.453125" bestFit="1" customWidth="1"/>
    <col min="14607" max="14611" width="0" hidden="1" customWidth="1"/>
    <col min="14612" max="14612" width="14.453125" customWidth="1"/>
    <col min="14613" max="14616" width="0" hidden="1" customWidth="1"/>
    <col min="14617" max="14617" width="15.26953125" bestFit="1" customWidth="1"/>
    <col min="14618" max="14619" width="0" hidden="1" customWidth="1"/>
    <col min="14620" max="14620" width="14" customWidth="1"/>
    <col min="14621" max="14621" width="10.7265625" customWidth="1"/>
    <col min="14814" max="14815" width="2.7265625" customWidth="1"/>
    <col min="14816" max="14816" width="4.7265625" customWidth="1"/>
    <col min="14817" max="14817" width="38.453125" bestFit="1" customWidth="1"/>
    <col min="14818" max="14818" width="8.26953125" customWidth="1"/>
    <col min="14820" max="14820" width="8.54296875" customWidth="1"/>
    <col min="14821" max="14821" width="9" customWidth="1"/>
    <col min="14822" max="14824" width="0" hidden="1" customWidth="1"/>
    <col min="14825" max="14825" width="13.7265625" customWidth="1"/>
    <col min="14826" max="14829" width="0" hidden="1" customWidth="1"/>
    <col min="14830" max="14830" width="13.7265625" customWidth="1"/>
    <col min="14831" max="14835" width="0" hidden="1" customWidth="1"/>
    <col min="14836" max="14836" width="14.453125" bestFit="1" customWidth="1"/>
    <col min="14837" max="14840" width="0" hidden="1" customWidth="1"/>
    <col min="14841" max="14841" width="14.453125" customWidth="1"/>
    <col min="14842" max="14845" width="0" hidden="1" customWidth="1"/>
    <col min="14846" max="14846" width="14" customWidth="1"/>
    <col min="14847" max="14851" width="0" hidden="1" customWidth="1"/>
    <col min="14852" max="14852" width="14" customWidth="1"/>
    <col min="14853" max="14856" width="0" hidden="1" customWidth="1"/>
    <col min="14857" max="14857" width="13.7265625" customWidth="1"/>
    <col min="14858" max="14861" width="0" hidden="1" customWidth="1"/>
    <col min="14862" max="14862" width="14.453125" bestFit="1" customWidth="1"/>
    <col min="14863" max="14867" width="0" hidden="1" customWidth="1"/>
    <col min="14868" max="14868" width="14.453125" customWidth="1"/>
    <col min="14869" max="14872" width="0" hidden="1" customWidth="1"/>
    <col min="14873" max="14873" width="15.26953125" bestFit="1" customWidth="1"/>
    <col min="14874" max="14875" width="0" hidden="1" customWidth="1"/>
    <col min="14876" max="14876" width="14" customWidth="1"/>
    <col min="14877" max="14877" width="10.7265625" customWidth="1"/>
    <col min="15070" max="15071" width="2.7265625" customWidth="1"/>
    <col min="15072" max="15072" width="4.7265625" customWidth="1"/>
    <col min="15073" max="15073" width="38.453125" bestFit="1" customWidth="1"/>
    <col min="15074" max="15074" width="8.26953125" customWidth="1"/>
    <col min="15076" max="15076" width="8.54296875" customWidth="1"/>
    <col min="15077" max="15077" width="9" customWidth="1"/>
    <col min="15078" max="15080" width="0" hidden="1" customWidth="1"/>
    <col min="15081" max="15081" width="13.7265625" customWidth="1"/>
    <col min="15082" max="15085" width="0" hidden="1" customWidth="1"/>
    <col min="15086" max="15086" width="13.7265625" customWidth="1"/>
    <col min="15087" max="15091" width="0" hidden="1" customWidth="1"/>
    <col min="15092" max="15092" width="14.453125" bestFit="1" customWidth="1"/>
    <col min="15093" max="15096" width="0" hidden="1" customWidth="1"/>
    <col min="15097" max="15097" width="14.453125" customWidth="1"/>
    <col min="15098" max="15101" width="0" hidden="1" customWidth="1"/>
    <col min="15102" max="15102" width="14" customWidth="1"/>
    <col min="15103" max="15107" width="0" hidden="1" customWidth="1"/>
    <col min="15108" max="15108" width="14" customWidth="1"/>
    <col min="15109" max="15112" width="0" hidden="1" customWidth="1"/>
    <col min="15113" max="15113" width="13.7265625" customWidth="1"/>
    <col min="15114" max="15117" width="0" hidden="1" customWidth="1"/>
    <col min="15118" max="15118" width="14.453125" bestFit="1" customWidth="1"/>
    <col min="15119" max="15123" width="0" hidden="1" customWidth="1"/>
    <col min="15124" max="15124" width="14.453125" customWidth="1"/>
    <col min="15125" max="15128" width="0" hidden="1" customWidth="1"/>
    <col min="15129" max="15129" width="15.26953125" bestFit="1" customWidth="1"/>
    <col min="15130" max="15131" width="0" hidden="1" customWidth="1"/>
    <col min="15132" max="15132" width="14" customWidth="1"/>
    <col min="15133" max="15133" width="10.7265625" customWidth="1"/>
    <col min="15326" max="15327" width="2.7265625" customWidth="1"/>
    <col min="15328" max="15328" width="4.7265625" customWidth="1"/>
    <col min="15329" max="15329" width="38.453125" bestFit="1" customWidth="1"/>
    <col min="15330" max="15330" width="8.26953125" customWidth="1"/>
    <col min="15332" max="15332" width="8.54296875" customWidth="1"/>
    <col min="15333" max="15333" width="9" customWidth="1"/>
    <col min="15334" max="15336" width="0" hidden="1" customWidth="1"/>
    <col min="15337" max="15337" width="13.7265625" customWidth="1"/>
    <col min="15338" max="15341" width="0" hidden="1" customWidth="1"/>
    <col min="15342" max="15342" width="13.7265625" customWidth="1"/>
    <col min="15343" max="15347" width="0" hidden="1" customWidth="1"/>
    <col min="15348" max="15348" width="14.453125" bestFit="1" customWidth="1"/>
    <col min="15349" max="15352" width="0" hidden="1" customWidth="1"/>
    <col min="15353" max="15353" width="14.453125" customWidth="1"/>
    <col min="15354" max="15357" width="0" hidden="1" customWidth="1"/>
    <col min="15358" max="15358" width="14" customWidth="1"/>
    <col min="15359" max="15363" width="0" hidden="1" customWidth="1"/>
    <col min="15364" max="15364" width="14" customWidth="1"/>
    <col min="15365" max="15368" width="0" hidden="1" customWidth="1"/>
    <col min="15369" max="15369" width="13.7265625" customWidth="1"/>
    <col min="15370" max="15373" width="0" hidden="1" customWidth="1"/>
    <col min="15374" max="15374" width="14.453125" bestFit="1" customWidth="1"/>
    <col min="15375" max="15379" width="0" hidden="1" customWidth="1"/>
    <col min="15380" max="15380" width="14.453125" customWidth="1"/>
    <col min="15381" max="15384" width="0" hidden="1" customWidth="1"/>
    <col min="15385" max="15385" width="15.26953125" bestFit="1" customWidth="1"/>
    <col min="15386" max="15387" width="0" hidden="1" customWidth="1"/>
    <col min="15388" max="15388" width="14" customWidth="1"/>
    <col min="15389" max="15389" width="10.7265625" customWidth="1"/>
    <col min="15582" max="15583" width="2.7265625" customWidth="1"/>
    <col min="15584" max="15584" width="4.7265625" customWidth="1"/>
    <col min="15585" max="15585" width="38.453125" bestFit="1" customWidth="1"/>
    <col min="15586" max="15586" width="8.26953125" customWidth="1"/>
    <col min="15588" max="15588" width="8.54296875" customWidth="1"/>
    <col min="15589" max="15589" width="9" customWidth="1"/>
    <col min="15590" max="15592" width="0" hidden="1" customWidth="1"/>
    <col min="15593" max="15593" width="13.7265625" customWidth="1"/>
    <col min="15594" max="15597" width="0" hidden="1" customWidth="1"/>
    <col min="15598" max="15598" width="13.7265625" customWidth="1"/>
    <col min="15599" max="15603" width="0" hidden="1" customWidth="1"/>
    <col min="15604" max="15604" width="14.453125" bestFit="1" customWidth="1"/>
    <col min="15605" max="15608" width="0" hidden="1" customWidth="1"/>
    <col min="15609" max="15609" width="14.453125" customWidth="1"/>
    <col min="15610" max="15613" width="0" hidden="1" customWidth="1"/>
    <col min="15614" max="15614" width="14" customWidth="1"/>
    <col min="15615" max="15619" width="0" hidden="1" customWidth="1"/>
    <col min="15620" max="15620" width="14" customWidth="1"/>
    <col min="15621" max="15624" width="0" hidden="1" customWidth="1"/>
    <col min="15625" max="15625" width="13.7265625" customWidth="1"/>
    <col min="15626" max="15629" width="0" hidden="1" customWidth="1"/>
    <col min="15630" max="15630" width="14.453125" bestFit="1" customWidth="1"/>
    <col min="15631" max="15635" width="0" hidden="1" customWidth="1"/>
    <col min="15636" max="15636" width="14.453125" customWidth="1"/>
    <col min="15637" max="15640" width="0" hidden="1" customWidth="1"/>
    <col min="15641" max="15641" width="15.26953125" bestFit="1" customWidth="1"/>
    <col min="15642" max="15643" width="0" hidden="1" customWidth="1"/>
    <col min="15644" max="15644" width="14" customWidth="1"/>
    <col min="15645" max="15645" width="10.7265625" customWidth="1"/>
    <col min="15838" max="15839" width="2.7265625" customWidth="1"/>
    <col min="15840" max="15840" width="4.7265625" customWidth="1"/>
    <col min="15841" max="15841" width="38.453125" bestFit="1" customWidth="1"/>
    <col min="15842" max="15842" width="8.26953125" customWidth="1"/>
    <col min="15844" max="15844" width="8.54296875" customWidth="1"/>
    <col min="15845" max="15845" width="9" customWidth="1"/>
    <col min="15846" max="15848" width="0" hidden="1" customWidth="1"/>
    <col min="15849" max="15849" width="13.7265625" customWidth="1"/>
    <col min="15850" max="15853" width="0" hidden="1" customWidth="1"/>
    <col min="15854" max="15854" width="13.7265625" customWidth="1"/>
    <col min="15855" max="15859" width="0" hidden="1" customWidth="1"/>
    <col min="15860" max="15860" width="14.453125" bestFit="1" customWidth="1"/>
    <col min="15861" max="15864" width="0" hidden="1" customWidth="1"/>
    <col min="15865" max="15865" width="14.453125" customWidth="1"/>
    <col min="15866" max="15869" width="0" hidden="1" customWidth="1"/>
    <col min="15870" max="15870" width="14" customWidth="1"/>
    <col min="15871" max="15875" width="0" hidden="1" customWidth="1"/>
    <col min="15876" max="15876" width="14" customWidth="1"/>
    <col min="15877" max="15880" width="0" hidden="1" customWidth="1"/>
    <col min="15881" max="15881" width="13.7265625" customWidth="1"/>
    <col min="15882" max="15885" width="0" hidden="1" customWidth="1"/>
    <col min="15886" max="15886" width="14.453125" bestFit="1" customWidth="1"/>
    <col min="15887" max="15891" width="0" hidden="1" customWidth="1"/>
    <col min="15892" max="15892" width="14.453125" customWidth="1"/>
    <col min="15893" max="15896" width="0" hidden="1" customWidth="1"/>
    <col min="15897" max="15897" width="15.26953125" bestFit="1" customWidth="1"/>
    <col min="15898" max="15899" width="0" hidden="1" customWidth="1"/>
    <col min="15900" max="15900" width="14" customWidth="1"/>
    <col min="15901" max="15901" width="10.7265625" customWidth="1"/>
    <col min="16094" max="16095" width="2.7265625" customWidth="1"/>
    <col min="16096" max="16096" width="4.7265625" customWidth="1"/>
    <col min="16097" max="16097" width="38.453125" bestFit="1" customWidth="1"/>
    <col min="16098" max="16098" width="8.26953125" customWidth="1"/>
    <col min="16100" max="16100" width="8.54296875" customWidth="1"/>
    <col min="16101" max="16101" width="9" customWidth="1"/>
    <col min="16102" max="16104" width="0" hidden="1" customWidth="1"/>
    <col min="16105" max="16105" width="13.7265625" customWidth="1"/>
    <col min="16106" max="16109" width="0" hidden="1" customWidth="1"/>
    <col min="16110" max="16110" width="13.7265625" customWidth="1"/>
    <col min="16111" max="16115" width="0" hidden="1" customWidth="1"/>
    <col min="16116" max="16116" width="14.453125" bestFit="1" customWidth="1"/>
    <col min="16117" max="16120" width="0" hidden="1" customWidth="1"/>
    <col min="16121" max="16121" width="14.453125" customWidth="1"/>
    <col min="16122" max="16125" width="0" hidden="1" customWidth="1"/>
    <col min="16126" max="16126" width="14" customWidth="1"/>
    <col min="16127" max="16131" width="0" hidden="1" customWidth="1"/>
    <col min="16132" max="16132" width="14" customWidth="1"/>
    <col min="16133" max="16136" width="0" hidden="1" customWidth="1"/>
    <col min="16137" max="16137" width="13.7265625" customWidth="1"/>
    <col min="16138" max="16141" width="0" hidden="1" customWidth="1"/>
    <col min="16142" max="16142" width="14.453125" bestFit="1" customWidth="1"/>
    <col min="16143" max="16147" width="0" hidden="1" customWidth="1"/>
    <col min="16148" max="16148" width="14.453125" customWidth="1"/>
    <col min="16149" max="16152" width="0" hidden="1" customWidth="1"/>
    <col min="16153" max="16153" width="15.26953125" bestFit="1" customWidth="1"/>
    <col min="16154" max="16155" width="0" hidden="1" customWidth="1"/>
    <col min="16156" max="16156" width="14" customWidth="1"/>
    <col min="16157" max="16157" width="10.7265625" customWidth="1"/>
  </cols>
  <sheetData>
    <row r="1" spans="2:54" s="30" customFormat="1" ht="25.5" customHeight="1" x14ac:dyDescent="0.5">
      <c r="B1" s="122" t="s">
        <v>759</v>
      </c>
      <c r="C1" s="123"/>
      <c r="D1" s="123"/>
      <c r="E1" s="123"/>
      <c r="F1" s="123"/>
      <c r="G1" s="123"/>
      <c r="H1" s="35"/>
      <c r="I1" s="35"/>
      <c r="J1" s="35"/>
      <c r="K1" s="35"/>
      <c r="L1" s="35"/>
      <c r="M1" s="35"/>
      <c r="N1" s="35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8"/>
      <c r="BA1" s="64">
        <f ca="1">TODAY()</f>
        <v>46189</v>
      </c>
    </row>
    <row r="2" spans="2:54" s="31" customFormat="1" ht="18" customHeight="1" x14ac:dyDescent="0.3">
      <c r="B2" s="124"/>
      <c r="C2" s="126"/>
      <c r="D2" s="39"/>
      <c r="E2" s="39"/>
      <c r="F2" s="39"/>
      <c r="G2" s="39"/>
      <c r="H2" s="33" t="s">
        <v>1101</v>
      </c>
      <c r="I2" s="60" t="s">
        <v>703</v>
      </c>
      <c r="J2" s="60" t="s">
        <v>704</v>
      </c>
      <c r="K2" s="60" t="s">
        <v>705</v>
      </c>
      <c r="L2" s="60" t="s">
        <v>706</v>
      </c>
      <c r="M2" s="60" t="s">
        <v>707</v>
      </c>
      <c r="N2" s="60" t="s">
        <v>708</v>
      </c>
      <c r="O2" s="60" t="s">
        <v>709</v>
      </c>
      <c r="P2" s="60" t="s">
        <v>710</v>
      </c>
      <c r="Q2" s="60" t="s">
        <v>711</v>
      </c>
      <c r="R2" s="60" t="s">
        <v>712</v>
      </c>
      <c r="S2" s="60" t="s">
        <v>713</v>
      </c>
      <c r="T2" s="60" t="s">
        <v>714</v>
      </c>
      <c r="U2" s="60" t="s">
        <v>715</v>
      </c>
      <c r="V2" s="60" t="s">
        <v>716</v>
      </c>
      <c r="W2" s="60" t="s">
        <v>717</v>
      </c>
      <c r="X2" s="60" t="s">
        <v>718</v>
      </c>
      <c r="Y2" s="60" t="s">
        <v>719</v>
      </c>
      <c r="Z2" s="60" t="s">
        <v>720</v>
      </c>
      <c r="AA2" s="60" t="s">
        <v>721</v>
      </c>
      <c r="AB2" s="60" t="s">
        <v>722</v>
      </c>
      <c r="AC2" s="60" t="s">
        <v>723</v>
      </c>
      <c r="AD2" s="60" t="s">
        <v>724</v>
      </c>
      <c r="AE2" s="60" t="s">
        <v>725</v>
      </c>
      <c r="AF2" s="60" t="s">
        <v>726</v>
      </c>
      <c r="AG2" s="60" t="s">
        <v>727</v>
      </c>
      <c r="AH2" s="60" t="s">
        <v>728</v>
      </c>
      <c r="AI2" s="60" t="s">
        <v>729</v>
      </c>
      <c r="AJ2" s="60" t="s">
        <v>730</v>
      </c>
      <c r="AK2" s="60" t="s">
        <v>731</v>
      </c>
      <c r="AL2" s="60" t="s">
        <v>732</v>
      </c>
      <c r="AM2" s="60" t="s">
        <v>733</v>
      </c>
      <c r="AN2" s="60" t="s">
        <v>734</v>
      </c>
      <c r="AO2" s="60" t="s">
        <v>735</v>
      </c>
      <c r="AP2" s="60" t="s">
        <v>736</v>
      </c>
      <c r="AQ2" s="60" t="s">
        <v>737</v>
      </c>
      <c r="AR2" s="60" t="s">
        <v>738</v>
      </c>
      <c r="AS2" s="60" t="s">
        <v>739</v>
      </c>
      <c r="AT2" s="60" t="s">
        <v>740</v>
      </c>
      <c r="AU2" s="60" t="s">
        <v>741</v>
      </c>
      <c r="AV2" s="60" t="s">
        <v>742</v>
      </c>
      <c r="AW2" s="60" t="s">
        <v>743</v>
      </c>
      <c r="AX2" s="60" t="s">
        <v>744</v>
      </c>
      <c r="AY2" s="60" t="s">
        <v>745</v>
      </c>
      <c r="AZ2" s="61" t="s">
        <v>746</v>
      </c>
    </row>
    <row r="3" spans="2:54" s="31" customFormat="1" ht="60.5" customHeight="1" x14ac:dyDescent="0.3">
      <c r="B3" s="125"/>
      <c r="C3" s="127"/>
      <c r="D3" s="39"/>
      <c r="E3" s="39"/>
      <c r="F3" s="39"/>
      <c r="G3" s="39"/>
      <c r="H3" s="34">
        <v>46188</v>
      </c>
      <c r="I3" s="62">
        <f>H3+7</f>
        <v>46195</v>
      </c>
      <c r="J3" s="62">
        <f>I3+7</f>
        <v>46202</v>
      </c>
      <c r="K3" s="62">
        <f t="shared" ref="K3:AZ3" si="0">J3+7</f>
        <v>46209</v>
      </c>
      <c r="L3" s="62">
        <f t="shared" si="0"/>
        <v>46216</v>
      </c>
      <c r="M3" s="62">
        <f t="shared" si="0"/>
        <v>46223</v>
      </c>
      <c r="N3" s="62">
        <f t="shared" si="0"/>
        <v>46230</v>
      </c>
      <c r="O3" s="62">
        <f t="shared" si="0"/>
        <v>46237</v>
      </c>
      <c r="P3" s="62">
        <f t="shared" si="0"/>
        <v>46244</v>
      </c>
      <c r="Q3" s="62">
        <f t="shared" si="0"/>
        <v>46251</v>
      </c>
      <c r="R3" s="62">
        <f t="shared" si="0"/>
        <v>46258</v>
      </c>
      <c r="S3" s="62">
        <f t="shared" si="0"/>
        <v>46265</v>
      </c>
      <c r="T3" s="62">
        <f t="shared" si="0"/>
        <v>46272</v>
      </c>
      <c r="U3" s="62">
        <f t="shared" si="0"/>
        <v>46279</v>
      </c>
      <c r="V3" s="62">
        <f t="shared" si="0"/>
        <v>46286</v>
      </c>
      <c r="W3" s="62">
        <f t="shared" si="0"/>
        <v>46293</v>
      </c>
      <c r="X3" s="62">
        <f t="shared" si="0"/>
        <v>46300</v>
      </c>
      <c r="Y3" s="62">
        <f t="shared" si="0"/>
        <v>46307</v>
      </c>
      <c r="Z3" s="62">
        <f t="shared" si="0"/>
        <v>46314</v>
      </c>
      <c r="AA3" s="62">
        <f t="shared" si="0"/>
        <v>46321</v>
      </c>
      <c r="AB3" s="62">
        <f t="shared" si="0"/>
        <v>46328</v>
      </c>
      <c r="AC3" s="62">
        <f t="shared" si="0"/>
        <v>46335</v>
      </c>
      <c r="AD3" s="62">
        <f t="shared" si="0"/>
        <v>46342</v>
      </c>
      <c r="AE3" s="62">
        <f t="shared" si="0"/>
        <v>46349</v>
      </c>
      <c r="AF3" s="62">
        <f t="shared" si="0"/>
        <v>46356</v>
      </c>
      <c r="AG3" s="62">
        <f t="shared" si="0"/>
        <v>46363</v>
      </c>
      <c r="AH3" s="62">
        <f t="shared" si="0"/>
        <v>46370</v>
      </c>
      <c r="AI3" s="62">
        <f t="shared" si="0"/>
        <v>46377</v>
      </c>
      <c r="AJ3" s="62">
        <f t="shared" si="0"/>
        <v>46384</v>
      </c>
      <c r="AK3" s="62">
        <f t="shared" si="0"/>
        <v>46391</v>
      </c>
      <c r="AL3" s="62">
        <f t="shared" si="0"/>
        <v>46398</v>
      </c>
      <c r="AM3" s="62">
        <f t="shared" si="0"/>
        <v>46405</v>
      </c>
      <c r="AN3" s="62">
        <f t="shared" si="0"/>
        <v>46412</v>
      </c>
      <c r="AO3" s="62">
        <f t="shared" si="0"/>
        <v>46419</v>
      </c>
      <c r="AP3" s="62">
        <f t="shared" si="0"/>
        <v>46426</v>
      </c>
      <c r="AQ3" s="62">
        <f t="shared" si="0"/>
        <v>46433</v>
      </c>
      <c r="AR3" s="62">
        <f t="shared" si="0"/>
        <v>46440</v>
      </c>
      <c r="AS3" s="62">
        <f t="shared" si="0"/>
        <v>46447</v>
      </c>
      <c r="AT3" s="62">
        <f t="shared" si="0"/>
        <v>46454</v>
      </c>
      <c r="AU3" s="62">
        <f t="shared" si="0"/>
        <v>46461</v>
      </c>
      <c r="AV3" s="62">
        <f t="shared" si="0"/>
        <v>46468</v>
      </c>
      <c r="AW3" s="62">
        <f t="shared" si="0"/>
        <v>46475</v>
      </c>
      <c r="AX3" s="62">
        <f t="shared" si="0"/>
        <v>46482</v>
      </c>
      <c r="AY3" s="62">
        <f t="shared" si="0"/>
        <v>46489</v>
      </c>
      <c r="AZ3" s="63">
        <f t="shared" si="0"/>
        <v>46496</v>
      </c>
    </row>
    <row r="4" spans="2:54" s="48" customFormat="1" ht="30" customHeight="1" x14ac:dyDescent="0.25">
      <c r="B4" s="43"/>
      <c r="C4" s="44" t="s">
        <v>773</v>
      </c>
      <c r="D4" s="50" t="s">
        <v>749</v>
      </c>
      <c r="E4" s="50" t="s">
        <v>750</v>
      </c>
      <c r="F4" s="50" t="s">
        <v>747</v>
      </c>
      <c r="G4" s="50" t="s">
        <v>748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6"/>
      <c r="BA4" s="47"/>
      <c r="BB4" s="47"/>
    </row>
    <row r="5" spans="2:54" s="32" customFormat="1" ht="30" customHeight="1" x14ac:dyDescent="0.35">
      <c r="B5" s="40" t="s">
        <v>37</v>
      </c>
      <c r="C5" s="49" t="str">
        <f>VLOOKUP($B5,SAMC!$A:$F,2,0)</f>
        <v>IN-5250-25-014 - ETDI - DESARENADOR</v>
      </c>
      <c r="D5" s="51" t="str">
        <f>VLOOKUP($B5,SAMC!$A:$F,5,0)</f>
        <v>Em Andamento</v>
      </c>
      <c r="E5" s="51" t="str">
        <f>VLOOKUP($B5,SAMC!$A:$F,6,0)</f>
        <v>Em andamento</v>
      </c>
      <c r="F5" s="52"/>
      <c r="G5" s="52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4"/>
      <c r="BA5" s="31"/>
      <c r="BB5" s="31"/>
    </row>
    <row r="6" spans="2:54" s="32" customFormat="1" ht="30" customHeight="1" x14ac:dyDescent="0.35">
      <c r="B6" s="40" t="s">
        <v>35</v>
      </c>
      <c r="C6" s="49" t="str">
        <f>VLOOKUP($B6,SAMC!$A:$F,2,0)</f>
        <v>IN-5250-20-001 - ETDI - REDE CONTAMINADA</v>
      </c>
      <c r="D6" s="51" t="str">
        <f>VLOOKUP($B6,SAMC!$A:$F,5,0)</f>
        <v>Em Andamento</v>
      </c>
      <c r="E6" s="51" t="str">
        <f>VLOOKUP($B6,SAMC!$A:$F,6,0)</f>
        <v>Em andamento</v>
      </c>
      <c r="F6" s="52"/>
      <c r="G6" s="52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/>
      <c r="BA6" s="31"/>
      <c r="BB6" s="31"/>
    </row>
    <row r="7" spans="2:54" s="32" customFormat="1" ht="30" customHeight="1" x14ac:dyDescent="0.35">
      <c r="B7" s="40" t="s">
        <v>33</v>
      </c>
      <c r="C7" s="49" t="str">
        <f>VLOOKUP($B7,SAMC!$A:$F,2,0)</f>
        <v>IN - 5250-25-005 - ETDI - FRENTE 01 - BOMBAS DO PPI - ELÉTRICA</v>
      </c>
      <c r="D7" s="51" t="str">
        <f>VLOOKUP($B7,SAMC!$A:$F,5,0)</f>
        <v>Em Andamento</v>
      </c>
      <c r="E7" s="51" t="str">
        <f>VLOOKUP($B7,SAMC!$A:$F,6,0)</f>
        <v>Em andamento</v>
      </c>
      <c r="F7" s="52"/>
      <c r="G7" s="52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4"/>
      <c r="BA7" s="31"/>
      <c r="BB7" s="31"/>
    </row>
    <row r="8" spans="2:54" s="32" customFormat="1" ht="30" customHeight="1" x14ac:dyDescent="0.35">
      <c r="B8" s="40" t="s">
        <v>31</v>
      </c>
      <c r="C8" s="49" t="str">
        <f>VLOOKUP($B8,SAMC!$A:$F,2,0)</f>
        <v>IN - 5250-20-001 - ETDI - BOMBAS DO PPI - CIVIL</v>
      </c>
      <c r="D8" s="51" t="str">
        <f>VLOOKUP($B8,SAMC!$A:$F,5,0)</f>
        <v>Em Andamento</v>
      </c>
      <c r="E8" s="51" t="str">
        <f>VLOOKUP($B8,SAMC!$A:$F,6,0)</f>
        <v>Em andamento</v>
      </c>
      <c r="F8" s="52"/>
      <c r="G8" s="52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4"/>
      <c r="BA8" s="31"/>
      <c r="BB8" s="31"/>
    </row>
    <row r="9" spans="2:54" s="32" customFormat="1" ht="30" customHeight="1" x14ac:dyDescent="0.35">
      <c r="B9" s="40" t="s">
        <v>29</v>
      </c>
      <c r="C9" s="49" t="str">
        <f>VLOOKUP($B9,SAMC!$A:$F,2,0)</f>
        <v>IN-5250-25-015 - ETDI - CONTAMINADA FASE 2 - CIVIL</v>
      </c>
      <c r="D9" s="51" t="str">
        <f>VLOOKUP($B9,SAMC!$A:$F,5,0)</f>
        <v>Em Andamento</v>
      </c>
      <c r="E9" s="51" t="str">
        <f>VLOOKUP($B9,SAMC!$A:$F,6,0)</f>
        <v>Em andamento</v>
      </c>
      <c r="F9" s="52"/>
      <c r="G9" s="52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4"/>
      <c r="BA9" s="31"/>
      <c r="BB9" s="31"/>
    </row>
    <row r="10" spans="2:54" s="32" customFormat="1" ht="30" customHeight="1" x14ac:dyDescent="0.35">
      <c r="B10" s="40" t="s">
        <v>27</v>
      </c>
      <c r="C10" s="49" t="str">
        <f>VLOOKUP($B10,SAMC!$A:$F,2,0)</f>
        <v>IN-5250-23-014 - Novo Laboratório de Integridade da IE</v>
      </c>
      <c r="D10" s="51" t="str">
        <f>VLOOKUP($B10,SAMC!$A:$F,5,0)</f>
        <v>Em Revisão</v>
      </c>
      <c r="E10" s="51" t="str">
        <f>VLOOKUP($B10,SAMC!$A:$F,6,0)</f>
        <v>Em Revisão</v>
      </c>
      <c r="F10" s="52"/>
      <c r="G10" s="52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4"/>
      <c r="BA10" s="31"/>
      <c r="BB10" s="31"/>
    </row>
    <row r="11" spans="2:54" s="32" customFormat="1" ht="30" customHeight="1" x14ac:dyDescent="0.35">
      <c r="B11" s="40" t="s">
        <v>16</v>
      </c>
      <c r="C11" s="49" t="str">
        <f>VLOOKUP($B11,SAMC!$A:$F,2,0)</f>
        <v>Reforço do Muro da APAE</v>
      </c>
      <c r="D11" s="51" t="str">
        <f>VLOOKUP($B11,SAMC!$A:$F,5,0)</f>
        <v>Aguardando Planejamento</v>
      </c>
      <c r="E11" s="51" t="str">
        <f>VLOOKUP($B11,SAMC!$A:$F,6,0)</f>
        <v>Aguardando classif contabil</v>
      </c>
      <c r="F11" s="52"/>
      <c r="G11" s="52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4"/>
      <c r="BA11" s="31"/>
      <c r="BB11" s="31"/>
    </row>
    <row r="12" spans="2:54" s="32" customFormat="1" ht="30" customHeight="1" x14ac:dyDescent="0.35">
      <c r="B12" s="40" t="s">
        <v>14</v>
      </c>
      <c r="C12" s="49" t="str">
        <f>VLOOKUP($B12,SAMC!$A:$F,2,0)</f>
        <v>IN - 5250-20-001 - ETDI - BOMBAS DO PPI - MECANICA</v>
      </c>
      <c r="D12" s="51" t="str">
        <f>VLOOKUP($B12,SAMC!$A:$F,5,0)</f>
        <v>Em Andamento</v>
      </c>
      <c r="E12" s="51" t="str">
        <f>VLOOKUP($B12,SAMC!$A:$F,6,0)</f>
        <v>Em Andamento</v>
      </c>
      <c r="F12" s="52"/>
      <c r="G12" s="52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4"/>
      <c r="BA12" s="31"/>
      <c r="BB12" s="31"/>
    </row>
    <row r="13" spans="2:54" s="32" customFormat="1" ht="30" customHeight="1" x14ac:dyDescent="0.35">
      <c r="B13" s="40" t="s">
        <v>11</v>
      </c>
      <c r="C13" s="49" t="str">
        <f>VLOOKUP($B13,SAMC!$A:$F,2,0)</f>
        <v>IN - 5250-25-010 - Melhoria acesso bloco K 27-TQ-01 C e D - Montagem</v>
      </c>
      <c r="D13" s="51" t="str">
        <f>VLOOKUP($B13,SAMC!$A:$F,5,0)</f>
        <v>Em Revisão</v>
      </c>
      <c r="E13" s="51" t="str">
        <f>VLOOKUP($B13,SAMC!$A:$F,6,0)</f>
        <v>Em Revisão</v>
      </c>
      <c r="F13" s="52"/>
      <c r="G13" s="52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4"/>
      <c r="BA13" s="31"/>
      <c r="BB13" s="31"/>
    </row>
    <row r="14" spans="2:54" s="32" customFormat="1" ht="30" customHeight="1" x14ac:dyDescent="0.35">
      <c r="B14" s="40" t="s">
        <v>10</v>
      </c>
      <c r="C14" s="49" t="str">
        <f>VLOOKUP($B14,SAMC!$A:$F,2,0)</f>
        <v>IN - 5250-25-011 - Melhoria acesso bloco P 27-TQ-01 K e M - Montagem</v>
      </c>
      <c r="D14" s="51" t="str">
        <f>VLOOKUP($B14,SAMC!$A:$F,5,0)</f>
        <v>Em Revisão</v>
      </c>
      <c r="E14" s="51" t="str">
        <f>VLOOKUP($B14,SAMC!$A:$F,6,0)</f>
        <v>Em Revisão</v>
      </c>
      <c r="F14" s="52"/>
      <c r="G14" s="52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4"/>
      <c r="BA14" s="31"/>
      <c r="BB14" s="31"/>
    </row>
    <row r="15" spans="2:54" s="32" customFormat="1" ht="30" customHeight="1" x14ac:dyDescent="0.35">
      <c r="B15" s="40" t="s">
        <v>9</v>
      </c>
      <c r="C15" s="49" t="str">
        <f>VLOOKUP($B15,SAMC!$A:$F,2,0)</f>
        <v>IN - 5250-25-012 - Melhoria acesso bloco P 27-TQ-01 L e N - Montagem</v>
      </c>
      <c r="D15" s="51" t="str">
        <f>VLOOKUP($B15,SAMC!$A:$F,5,0)</f>
        <v>Em Revisão</v>
      </c>
      <c r="E15" s="51" t="str">
        <f>VLOOKUP($B15,SAMC!$A:$F,6,0)</f>
        <v>Em Revisão</v>
      </c>
      <c r="F15" s="52"/>
      <c r="G15" s="52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4"/>
      <c r="BA15" s="31"/>
      <c r="BB15" s="31"/>
    </row>
    <row r="16" spans="2:54" s="32" customFormat="1" ht="30" customHeight="1" x14ac:dyDescent="0.35">
      <c r="B16" s="40" t="s">
        <v>3</v>
      </c>
      <c r="C16" s="49" t="str">
        <f>VLOOKUP($B16,SAMC!$A:$F,2,0)</f>
        <v>IN - 5250-24-051 - Melhoria do Acesso aos TQ´s de Escuros 27-TQ-116-A/B - Montagem</v>
      </c>
      <c r="D16" s="51" t="str">
        <f>VLOOKUP($B16,SAMC!$A:$F,5,0)</f>
        <v>Em Revisão</v>
      </c>
      <c r="E16" s="51" t="str">
        <f>VLOOKUP($B16,SAMC!$A:$F,6,0)</f>
        <v>Em Revisão</v>
      </c>
      <c r="F16" s="52"/>
      <c r="G16" s="52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4"/>
      <c r="BA16" s="31"/>
      <c r="BB16" s="31"/>
    </row>
    <row r="17" spans="2:54" s="32" customFormat="1" ht="30" customHeight="1" x14ac:dyDescent="0.35">
      <c r="B17" s="40" t="s">
        <v>111</v>
      </c>
      <c r="C17" s="49" t="str">
        <f>VLOOKUP($B17,SAMC!$A:$F,2,0)</f>
        <v>Adequação Escadas de Marinheiro - Projeto</v>
      </c>
      <c r="D17" s="51" t="str">
        <f>VLOOKUP($B17,SAMC!$A:$F,5,0)</f>
        <v>Em Andamento</v>
      </c>
      <c r="E17" s="51" t="str">
        <f>VLOOKUP($B17,SAMC!$A:$F,6,0)</f>
        <v>Em Andamento</v>
      </c>
      <c r="F17" s="52"/>
      <c r="G17" s="52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4"/>
      <c r="BA17" s="31"/>
      <c r="BB17" s="31"/>
    </row>
    <row r="18" spans="2:54" s="32" customFormat="1" ht="30" customHeight="1" x14ac:dyDescent="0.35">
      <c r="B18" s="40" t="s">
        <v>82</v>
      </c>
      <c r="C18" s="49" t="str">
        <f>VLOOKUP($B18,SAMC!$A:$F,2,0)</f>
        <v>Envelope Elétrico GPI</v>
      </c>
      <c r="D18" s="51" t="str">
        <f>VLOOKUP($B18,SAMC!$A:$F,5,0)</f>
        <v>Em Andamento</v>
      </c>
      <c r="E18" s="51" t="str">
        <f>VLOOKUP($B18,SAMC!$A:$F,6,0)</f>
        <v>Em Andamento</v>
      </c>
      <c r="F18" s="52"/>
      <c r="G18" s="52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4"/>
      <c r="BA18" s="31"/>
      <c r="BB18" s="31"/>
    </row>
    <row r="19" spans="2:54" s="32" customFormat="1" ht="30" customHeight="1" x14ac:dyDescent="0.35">
      <c r="B19" s="40" t="s">
        <v>80</v>
      </c>
      <c r="C19" s="49" t="str">
        <f>VLOOKUP($B19,SAMC!$A:$F,2,0)</f>
        <v>IN - 5250-24-085 - Phase-Out do Diesel S500 - Projeto</v>
      </c>
      <c r="D19" s="51" t="str">
        <f>VLOOKUP($B19,SAMC!$A:$F,5,0)</f>
        <v>Em Andamento</v>
      </c>
      <c r="E19" s="51" t="str">
        <f>VLOOKUP($B19,SAMC!$A:$F,6,0)</f>
        <v>Em Andamento</v>
      </c>
      <c r="F19" s="52"/>
      <c r="G19" s="52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4"/>
      <c r="BA19" s="31"/>
      <c r="BB19" s="31"/>
    </row>
    <row r="20" spans="2:54" s="32" customFormat="1" ht="30" customHeight="1" x14ac:dyDescent="0.35">
      <c r="B20" s="40" t="s">
        <v>293</v>
      </c>
      <c r="C20" s="49" t="str">
        <f>VLOOKUP($B20,SAMC!$A:$F,2,0)</f>
        <v>IN - 5250-20-001 - ETDI - Bens</v>
      </c>
      <c r="D20" s="51" t="str">
        <f>VLOOKUP($B20,SAMC!$A:$F,5,0)</f>
        <v>Em Revisão</v>
      </c>
      <c r="E20" s="51" t="str">
        <f>VLOOKUP($B20,SAMC!$A:$F,6,0)</f>
        <v>Concluída</v>
      </c>
      <c r="F20" s="52"/>
      <c r="G20" s="52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4"/>
      <c r="BA20" s="31"/>
      <c r="BB20" s="31"/>
    </row>
    <row r="21" spans="2:54" s="32" customFormat="1" ht="30" customHeight="1" x14ac:dyDescent="0.35">
      <c r="B21" s="40" t="s">
        <v>285</v>
      </c>
      <c r="C21" s="49" t="str">
        <f>VLOOKUP($B21,SAMC!$A:$F,2,0)</f>
        <v>IN - 5250-24-074 - Adequações para Recebimento de C5+ - Civil</v>
      </c>
      <c r="D21" s="51" t="str">
        <f>VLOOKUP($B21,SAMC!$A:$F,5,0)</f>
        <v>Em Andamento</v>
      </c>
      <c r="E21" s="51" t="str">
        <f>VLOOKUP($B21,SAMC!$A:$F,6,0)</f>
        <v>Em Andamento</v>
      </c>
      <c r="F21" s="52"/>
      <c r="G21" s="52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4"/>
      <c r="BA21" s="31"/>
      <c r="BB21" s="31"/>
    </row>
    <row r="22" spans="2:54" s="32" customFormat="1" ht="30" customHeight="1" x14ac:dyDescent="0.35">
      <c r="B22" s="40" t="s">
        <v>283</v>
      </c>
      <c r="C22" s="49" t="str">
        <f>VLOOKUP($B22,SAMC!$A:$F,2,0)</f>
        <v>IN - 5250-24-074 - Adequações para Recebimento de C5+ - Mecânica</v>
      </c>
      <c r="D22" s="51" t="str">
        <f>VLOOKUP($B22,SAMC!$A:$F,5,0)</f>
        <v>Em Andamento</v>
      </c>
      <c r="E22" s="51" t="str">
        <f>VLOOKUP($B22,SAMC!$A:$F,6,0)</f>
        <v>Em Andamento</v>
      </c>
      <c r="F22" s="52"/>
      <c r="G22" s="52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4"/>
      <c r="BA22" s="31"/>
      <c r="BB22" s="31"/>
    </row>
    <row r="23" spans="2:54" s="32" customFormat="1" ht="30" customHeight="1" x14ac:dyDescent="0.35">
      <c r="B23" s="40" t="s">
        <v>279</v>
      </c>
      <c r="C23" s="49" t="str">
        <f>VLOOKUP($B23,SAMC!$A:$F,2,0)</f>
        <v>IN - 5250-24-075 - Substituição PLC ALTUS CP4</v>
      </c>
      <c r="D23" s="51" t="str">
        <f>VLOOKUP($B23,SAMC!$A:$F,5,0)</f>
        <v>Em Revisão</v>
      </c>
      <c r="E23" s="51" t="str">
        <f>VLOOKUP($B23,SAMC!$A:$F,6,0)</f>
        <v>Em Revisão</v>
      </c>
      <c r="F23" s="52"/>
      <c r="G23" s="52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4"/>
      <c r="BA23" s="31"/>
      <c r="BB23" s="31"/>
    </row>
    <row r="24" spans="2:54" s="32" customFormat="1" ht="30" customHeight="1" x14ac:dyDescent="0.35">
      <c r="B24" s="40" t="s">
        <v>315</v>
      </c>
      <c r="C24" s="49" t="str">
        <f>VLOOKUP($B24,SAMC!$A:$F,2,0)</f>
        <v>IN - 5250-25-010 - Melhoria acesso bloco K 27-TQ-01 E - Montagem</v>
      </c>
      <c r="D24" s="51" t="str">
        <f>VLOOKUP($B24,SAMC!$A:$F,5,0)</f>
        <v>Em Revisão</v>
      </c>
      <c r="E24" s="51" t="str">
        <f>VLOOKUP($B24,SAMC!$A:$F,6,0)</f>
        <v>Em Revisão</v>
      </c>
      <c r="F24" s="52"/>
      <c r="G24" s="52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4"/>
      <c r="BA24" s="31"/>
      <c r="BB24" s="31"/>
    </row>
    <row r="25" spans="2:54" s="32" customFormat="1" ht="30" customHeight="1" x14ac:dyDescent="0.35">
      <c r="B25" s="40" t="s">
        <v>307</v>
      </c>
      <c r="C25" s="49" t="str">
        <f>VLOOKUP($B25,SAMC!$A:$F,2,0)</f>
        <v>IN - 5250-24-051 - Melhoria do Acesso aos TQ´s de Escuros 27-TQ-116-C/E - Montagem</v>
      </c>
      <c r="D25" s="51" t="str">
        <f>VLOOKUP($B25,SAMC!$A:$F,5,0)</f>
        <v>Em Revisão</v>
      </c>
      <c r="E25" s="51" t="str">
        <f>VLOOKUP($B25,SAMC!$A:$F,6,0)</f>
        <v>Em Revisão</v>
      </c>
      <c r="F25" s="52"/>
      <c r="G25" s="52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4"/>
      <c r="BA25" s="31"/>
      <c r="BB25" s="31"/>
    </row>
    <row r="26" spans="2:54" s="32" customFormat="1" ht="30" customHeight="1" x14ac:dyDescent="0.35">
      <c r="B26" s="40" t="s">
        <v>305</v>
      </c>
      <c r="C26" s="49" t="str">
        <f>VLOOKUP($B26,SAMC!$A:$F,2,0)</f>
        <v>IN - 5250-24-051 - Melhoria do Acesso aos TQ´s de Escuros 27-TQ-116-D/F - Montagem</v>
      </c>
      <c r="D26" s="51" t="str">
        <f>VLOOKUP($B26,SAMC!$A:$F,5,0)</f>
        <v>Em Andamento</v>
      </c>
      <c r="E26" s="51" t="str">
        <f>VLOOKUP($B26,SAMC!$A:$F,6,0)</f>
        <v>Em Andamento</v>
      </c>
      <c r="F26" s="52"/>
      <c r="G26" s="52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4"/>
      <c r="BA26" s="31"/>
      <c r="BB26" s="31"/>
    </row>
    <row r="27" spans="2:54" s="32" customFormat="1" ht="30" customHeight="1" x14ac:dyDescent="0.35">
      <c r="B27" s="40" t="s">
        <v>360</v>
      </c>
      <c r="C27" s="49" t="str">
        <f>VLOOKUP($B27,SAMC!$A:$F,2,0)</f>
        <v>Fornecimento de Bens - SS-132/2025 - Envelope Elétrico GPI</v>
      </c>
      <c r="D27" s="51" t="str">
        <f>VLOOKUP($B27,SAMC!$A:$F,5,0)</f>
        <v>Em Andamento</v>
      </c>
      <c r="E27" s="51" t="str">
        <f>VLOOKUP($B27,SAMC!$A:$F,6,0)</f>
        <v>Em Andamento</v>
      </c>
      <c r="F27" s="52"/>
      <c r="G27" s="52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4"/>
      <c r="BA27" s="31"/>
      <c r="BB27" s="31"/>
    </row>
    <row r="28" spans="2:54" s="32" customFormat="1" ht="30" customHeight="1" x14ac:dyDescent="0.35">
      <c r="B28" s="40" t="s">
        <v>356</v>
      </c>
      <c r="C28" s="49" t="str">
        <f>VLOOKUP($B28,SAMC!$A:$F,2,0)</f>
        <v>IN - 5250-24-074 - Adequações para Recebimento de C5+ - Bens</v>
      </c>
      <c r="D28" s="51" t="str">
        <f>VLOOKUP($B28,SAMC!$A:$F,5,0)</f>
        <v>Em Andamento</v>
      </c>
      <c r="E28" s="51" t="str">
        <f>VLOOKUP($B28,SAMC!$A:$F,6,0)</f>
        <v>Em Andamento</v>
      </c>
      <c r="F28" s="52"/>
      <c r="G28" s="52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4"/>
      <c r="BA28" s="31"/>
      <c r="BB28" s="31"/>
    </row>
    <row r="29" spans="2:54" s="32" customFormat="1" ht="30" customHeight="1" x14ac:dyDescent="0.35">
      <c r="B29" s="40" t="s">
        <v>354</v>
      </c>
      <c r="C29" s="49" t="str">
        <f>VLOOKUP($B29,SAMC!$A:$F,2,0)</f>
        <v>IN - 5250-19-005 - PT-123 - MODERNIZAÇÃO DA SUBESTAÇÃO - Bens</v>
      </c>
      <c r="D29" s="51" t="str">
        <f>VLOOKUP($B29,SAMC!$A:$F,5,0)</f>
        <v>Em Andamento</v>
      </c>
      <c r="E29" s="51" t="str">
        <f>VLOOKUP($B29,SAMC!$A:$F,6,0)</f>
        <v>Em Andamento</v>
      </c>
      <c r="F29" s="52"/>
      <c r="G29" s="52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4"/>
      <c r="BA29" s="31"/>
      <c r="BB29" s="31"/>
    </row>
    <row r="30" spans="2:54" s="32" customFormat="1" ht="30" customHeight="1" x14ac:dyDescent="0.35">
      <c r="B30" s="40" t="s">
        <v>352</v>
      </c>
      <c r="C30" s="49" t="str">
        <f>VLOOKUP($B30,SAMC!$A:$F,2,0)</f>
        <v>Cobertura do EI - Civil</v>
      </c>
      <c r="D30" s="51" t="str">
        <f>VLOOKUP($B30,SAMC!$A:$F,5,0)</f>
        <v>Em Revisão</v>
      </c>
      <c r="E30" s="51" t="str">
        <f>VLOOKUP($B30,SAMC!$A:$F,6,0)</f>
        <v>Em Revisão</v>
      </c>
      <c r="F30" s="52"/>
      <c r="G30" s="52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4"/>
      <c r="BA30" s="31"/>
      <c r="BB30" s="31"/>
    </row>
    <row r="31" spans="2:54" s="32" customFormat="1" ht="30" customHeight="1" x14ac:dyDescent="0.35">
      <c r="B31" s="40" t="s">
        <v>375</v>
      </c>
      <c r="C31" s="49" t="str">
        <f>VLOOKUP($B31,SAMC!$A:$F,2,0)</f>
        <v>IN - 5250-17-007 - MODERNIZAÇÃO TURBO EXPANSOR 103-TG-01 - ELÉTRICA</v>
      </c>
      <c r="D31" s="51" t="str">
        <f>VLOOKUP($B31,SAMC!$A:$F,5,0)</f>
        <v>Aguardando Aprovação da Revisão</v>
      </c>
      <c r="E31" s="51" t="str">
        <f>VLOOKUP($B31,SAMC!$A:$F,6,0)</f>
        <v>Aguardando Aprovação da Revisão</v>
      </c>
      <c r="F31" s="52"/>
      <c r="G31" s="52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4"/>
      <c r="BA31" s="31"/>
      <c r="BB31" s="31"/>
    </row>
    <row r="32" spans="2:54" s="32" customFormat="1" ht="30" customHeight="1" x14ac:dyDescent="0.35">
      <c r="B32" s="40" t="s">
        <v>374</v>
      </c>
      <c r="C32" s="49" t="str">
        <f>VLOOKUP($B32,SAMC!$A:$F,2,0)</f>
        <v>IN - 5250-17-007 - LIBERAÇÃO 103-TG-01</v>
      </c>
      <c r="D32" s="51" t="str">
        <f>VLOOKUP($B32,SAMC!$A:$F,5,0)</f>
        <v>Em Andamento</v>
      </c>
      <c r="E32" s="51" t="str">
        <f>VLOOKUP($B32,SAMC!$A:$F,6,0)</f>
        <v>Em Andamento</v>
      </c>
      <c r="F32" s="52"/>
      <c r="G32" s="52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4"/>
      <c r="BA32" s="31"/>
      <c r="BB32" s="31"/>
    </row>
    <row r="33" spans="2:54" s="32" customFormat="1" ht="30" customHeight="1" x14ac:dyDescent="0.35">
      <c r="B33" s="40" t="s">
        <v>480</v>
      </c>
      <c r="C33" s="49" t="str">
        <f>VLOOKUP($B33,SAMC!$A:$F,2,0)</f>
        <v>IN - 5250-25-005 - ETDI - FRENTE 01 - BOMBAS DO PPI - ELÉTRICA - Bens</v>
      </c>
      <c r="D33" s="51" t="str">
        <f>VLOOKUP($B33,SAMC!$A:$F,5,0)</f>
        <v>Aguardando Aprovação</v>
      </c>
      <c r="E33" s="51" t="str">
        <f>VLOOKUP($B33,SAMC!$A:$F,6,0)</f>
        <v>Aguardando Aprovação</v>
      </c>
      <c r="F33" s="52"/>
      <c r="G33" s="52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4"/>
      <c r="BA33" s="31"/>
      <c r="BB33" s="31"/>
    </row>
    <row r="34" spans="2:54" s="32" customFormat="1" ht="30" customHeight="1" x14ac:dyDescent="0.35">
      <c r="B34" s="40" t="s">
        <v>476</v>
      </c>
      <c r="C34" s="49" t="str">
        <f>VLOOKUP($B34,SAMC!$A:$F,2,0)</f>
        <v>Apoio ao S2</v>
      </c>
      <c r="D34" s="51" t="str">
        <f>VLOOKUP($B34,SAMC!$A:$F,5,0)</f>
        <v>Em Revisão</v>
      </c>
      <c r="E34" s="51" t="str">
        <f>VLOOKUP($B34,SAMC!$A:$F,6,0)</f>
        <v>Em Revisão</v>
      </c>
      <c r="F34" s="52"/>
      <c r="G34" s="52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4"/>
      <c r="BA34" s="31"/>
      <c r="BB34" s="31"/>
    </row>
    <row r="35" spans="2:54" s="32" customFormat="1" ht="30" customHeight="1" x14ac:dyDescent="0.35">
      <c r="B35" s="40" t="s">
        <v>472</v>
      </c>
      <c r="C35" s="49" t="str">
        <f>VLOOKUP($B35,SAMC!$A:$F,2,0)</f>
        <v>Adequação Escadas de Marinheiro - Execução</v>
      </c>
      <c r="D35" s="51" t="str">
        <f>VLOOKUP($B35,SAMC!$A:$F,5,0)</f>
        <v>Em Andamento</v>
      </c>
      <c r="E35" s="51" t="str">
        <f>VLOOKUP($B35,SAMC!$A:$F,6,0)</f>
        <v>Em Andamento</v>
      </c>
      <c r="F35" s="52"/>
      <c r="G35" s="52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4"/>
      <c r="BA35" s="31"/>
      <c r="BB35" s="31"/>
    </row>
    <row r="36" spans="2:54" s="32" customFormat="1" ht="30" customHeight="1" x14ac:dyDescent="0.35">
      <c r="B36" s="40" t="s">
        <v>470</v>
      </c>
      <c r="C36" s="49" t="str">
        <f>VLOOKUP($B36,SAMC!$A:$F,2,0)</f>
        <v>IN-5250-24-092 - PT-200 - Escavação Manual para Pré Furos e Fundação</v>
      </c>
      <c r="D36" s="51" t="str">
        <f>VLOOKUP($B36,SAMC!$A:$F,5,0)</f>
        <v>Em Andamento</v>
      </c>
      <c r="E36" s="51" t="str">
        <f>VLOOKUP($B36,SAMC!$A:$F,6,0)</f>
        <v>Em Andamento</v>
      </c>
      <c r="F36" s="52"/>
      <c r="G36" s="5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4"/>
      <c r="BA36" s="31"/>
      <c r="BB36" s="31"/>
    </row>
    <row r="37" spans="2:54" s="32" customFormat="1" ht="30" customHeight="1" x14ac:dyDescent="0.35">
      <c r="B37" s="40" t="s">
        <v>466</v>
      </c>
      <c r="C37" s="49" t="str">
        <f>VLOOKUP($B37,SAMC!$A:$F,2,0)</f>
        <v>IN-5250-24-013 - ALIMENTAÇÕES PROVISÓRIAS TAF - SDCD CCF-I</v>
      </c>
      <c r="D37" s="51" t="str">
        <f>VLOOKUP($B37,SAMC!$A:$F,5,0)</f>
        <v>Em Andamento</v>
      </c>
      <c r="E37" s="51" t="str">
        <f>VLOOKUP($B37,SAMC!$A:$F,6,0)</f>
        <v>Em Andamento</v>
      </c>
      <c r="F37" s="52"/>
      <c r="G37" s="52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4"/>
      <c r="BA37" s="31"/>
      <c r="BB37" s="31"/>
    </row>
    <row r="38" spans="2:54" s="32" customFormat="1" ht="30" customHeight="1" x14ac:dyDescent="0.35">
      <c r="B38" s="40" t="s">
        <v>465</v>
      </c>
      <c r="C38" s="49" t="str">
        <f>VLOOKUP($B38,SAMC!$A:$F,2,0)</f>
        <v>IN-5250-23-017 - Sondagem Revamp</v>
      </c>
      <c r="D38" s="51" t="str">
        <f>VLOOKUP($B38,SAMC!$A:$F,5,0)</f>
        <v>Aguardando Aprovação da Revisão</v>
      </c>
      <c r="E38" s="51" t="str">
        <f>VLOOKUP($B38,SAMC!$A:$F,6,0)</f>
        <v>Aguardando Aprovação da Revisão</v>
      </c>
      <c r="F38" s="52"/>
      <c r="G38" s="52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4"/>
      <c r="BA38" s="31"/>
      <c r="BB38" s="31"/>
    </row>
    <row r="39" spans="2:54" s="32" customFormat="1" ht="30" customHeight="1" x14ac:dyDescent="0.35">
      <c r="B39" s="40" t="s">
        <v>463</v>
      </c>
      <c r="C39" s="49" t="str">
        <f>VLOOKUP($B39,SAMC!$A:$F,2,0)</f>
        <v>Georadar Revamp</v>
      </c>
      <c r="D39" s="51" t="str">
        <f>VLOOKUP($B39,SAMC!$A:$F,5,0)</f>
        <v>Aguardando Planejamento</v>
      </c>
      <c r="E39" s="51" t="str">
        <f>VLOOKUP($B39,SAMC!$A:$F,6,0)</f>
        <v>Concluída</v>
      </c>
      <c r="F39" s="52"/>
      <c r="G39" s="52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4"/>
      <c r="BA39" s="31"/>
      <c r="BB39" s="31"/>
    </row>
    <row r="40" spans="2:54" s="32" customFormat="1" ht="30" customHeight="1" x14ac:dyDescent="0.35">
      <c r="B40" s="40" t="s">
        <v>535</v>
      </c>
      <c r="C40" s="49" t="str">
        <f>VLOOKUP($B40,SAMC!$A:$F,2,0)</f>
        <v>Adequação Escadas de Marinheiro - Execução UDAV 01/02</v>
      </c>
      <c r="D40" s="51" t="str">
        <f>VLOOKUP($B40,SAMC!$A:$F,5,0)</f>
        <v>Em Andamento</v>
      </c>
      <c r="E40" s="51" t="str">
        <f>VLOOKUP($B40,SAMC!$A:$F,6,0)</f>
        <v>Em Andamento</v>
      </c>
      <c r="F40" s="52"/>
      <c r="G40" s="52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4"/>
      <c r="BA40" s="31"/>
      <c r="BB40" s="31"/>
    </row>
    <row r="41" spans="2:54" s="32" customFormat="1" ht="30" customHeight="1" x14ac:dyDescent="0.35">
      <c r="B41" s="40" t="s">
        <v>537</v>
      </c>
      <c r="C41" s="49" t="str">
        <f>VLOOKUP($B41,SAMC!$A:$F,2,0)</f>
        <v>Adequação Escadas de Marinheiro - Fornecimento de Bens</v>
      </c>
      <c r="D41" s="51" t="str">
        <f>VLOOKUP($B41,SAMC!$A:$F,5,0)</f>
        <v>Em Andamento</v>
      </c>
      <c r="E41" s="51" t="str">
        <f>VLOOKUP($B41,SAMC!$A:$F,6,0)</f>
        <v>Em Andamento</v>
      </c>
      <c r="F41" s="52"/>
      <c r="G41" s="52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4"/>
      <c r="BA41" s="31"/>
      <c r="BB41" s="31"/>
    </row>
    <row r="42" spans="2:54" s="32" customFormat="1" ht="30" customHeight="1" x14ac:dyDescent="0.35">
      <c r="B42" s="40" t="s">
        <v>539</v>
      </c>
      <c r="C42" s="49" t="str">
        <f>VLOOKUP($B42,SAMC!$A:$F,2,0)</f>
        <v>PMBC - 5250-26-100 - ALTERAÇÕES - HAZOP DA U-001 E U-101</v>
      </c>
      <c r="D42" s="51" t="str">
        <f>VLOOKUP($B42,SAMC!$A:$F,5,0)</f>
        <v>Em Andamento</v>
      </c>
      <c r="E42" s="51" t="str">
        <f>VLOOKUP($B42,SAMC!$A:$F,6,0)</f>
        <v>Em Andamento</v>
      </c>
      <c r="F42" s="52"/>
      <c r="G42" s="52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4"/>
      <c r="BA42" s="31"/>
      <c r="BB42" s="31"/>
    </row>
    <row r="43" spans="2:54" s="32" customFormat="1" ht="30" customHeight="1" x14ac:dyDescent="0.35">
      <c r="B43" s="40" t="s">
        <v>541</v>
      </c>
      <c r="C43" s="49" t="str">
        <f>VLOOKUP($B43,SAMC!$A:$F,2,0)</f>
        <v>PMBC - 5250-26-100 - HAZOP DA U-001 E U-101 - BENS</v>
      </c>
      <c r="D43" s="51" t="str">
        <f>VLOOKUP($B43,SAMC!$A:$F,5,0)</f>
        <v>Em Andamento</v>
      </c>
      <c r="E43" s="51" t="str">
        <f>VLOOKUP($B43,SAMC!$A:$F,6,0)</f>
        <v>Em Andamento</v>
      </c>
      <c r="F43" s="52"/>
      <c r="G43" s="52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4"/>
      <c r="BA43" s="31"/>
      <c r="BB43" s="31"/>
    </row>
    <row r="44" spans="2:54" s="32" customFormat="1" ht="30" customHeight="1" x14ac:dyDescent="0.35">
      <c r="B44" s="40" t="s">
        <v>543</v>
      </c>
      <c r="C44" s="49" t="str">
        <f>VLOOKUP($B44,SAMC!$A:$F,2,0)</f>
        <v>Manutenção Civil - Linha do Flare na Av. 8</v>
      </c>
      <c r="D44" s="51" t="str">
        <f>VLOOKUP($B44,SAMC!$A:$F,5,0)</f>
        <v>Em Andamento</v>
      </c>
      <c r="E44" s="51" t="str">
        <f>VLOOKUP($B44,SAMC!$A:$F,6,0)</f>
        <v>Em Andamento</v>
      </c>
      <c r="F44" s="52"/>
      <c r="G44" s="52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4"/>
      <c r="BA44" s="31"/>
      <c r="BB44" s="31"/>
    </row>
    <row r="45" spans="2:54" s="32" customFormat="1" ht="30" customHeight="1" x14ac:dyDescent="0.35">
      <c r="B45" s="40" t="s">
        <v>545</v>
      </c>
      <c r="C45" s="49" t="str">
        <f>VLOOKUP($B45,SAMC!$A:$F,2,0)</f>
        <v>IN-5250-24-092 - PT-200 - Estrutura Metálica - Fornecimento de Bens</v>
      </c>
      <c r="D45" s="51" t="str">
        <f>VLOOKUP($B45,SAMC!$A:$F,5,0)</f>
        <v>Em Andamento</v>
      </c>
      <c r="E45" s="51" t="str">
        <f>VLOOKUP($B45,SAMC!$A:$F,6,0)</f>
        <v>Em Andamento</v>
      </c>
      <c r="F45" s="52"/>
      <c r="G45" s="52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4"/>
      <c r="BA45" s="31"/>
      <c r="BB45" s="31"/>
    </row>
    <row r="46" spans="2:54" s="32" customFormat="1" ht="30" customHeight="1" x14ac:dyDescent="0.35">
      <c r="B46" s="40" t="s">
        <v>547</v>
      </c>
      <c r="C46" s="49" t="str">
        <f>VLOOKUP($B46,SAMC!$A:$F,2,0)</f>
        <v>IN-5250-24-092 - PT-200 - Estrutura Metálica - Fabricação</v>
      </c>
      <c r="D46" s="51" t="str">
        <f>VLOOKUP($B46,SAMC!$A:$F,5,0)</f>
        <v>Em Andamento</v>
      </c>
      <c r="E46" s="51" t="str">
        <f>VLOOKUP($B46,SAMC!$A:$F,6,0)</f>
        <v>Em Andamento</v>
      </c>
      <c r="F46" s="112"/>
      <c r="G46" s="112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4"/>
      <c r="BA46" s="31"/>
      <c r="BB46" s="31"/>
    </row>
    <row r="47" spans="2:54" s="48" customFormat="1" ht="30" customHeight="1" x14ac:dyDescent="0.25">
      <c r="B47" s="40" t="s">
        <v>549</v>
      </c>
      <c r="C47" s="49" t="str">
        <f>VLOOKUP($B47,SAMC!$A:$F,2,0)</f>
        <v>IN-5250-24-092 - PT-200 - Estrutura Metálica - Montagem</v>
      </c>
      <c r="D47" s="51" t="str">
        <f>VLOOKUP($B47,SAMC!$A:$F,5,0)</f>
        <v>Aguardando Aprovação</v>
      </c>
      <c r="E47" s="51" t="str">
        <f>VLOOKUP($B47,SAMC!$A:$F,6,0)</f>
        <v>Aguardando Aprovação</v>
      </c>
      <c r="F47" s="112"/>
      <c r="G47" s="112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4"/>
      <c r="BA47" s="31"/>
      <c r="BB47" s="31"/>
    </row>
    <row r="48" spans="2:54" s="32" customFormat="1" ht="30" customHeight="1" x14ac:dyDescent="0.35">
      <c r="B48" s="40" t="s">
        <v>551</v>
      </c>
      <c r="C48" s="49" t="str">
        <f>VLOOKUP($B48,SAMC!$A:$F,2,0)</f>
        <v>IN-5250-24-092 - PT-200 - Civil e Fundações</v>
      </c>
      <c r="D48" s="51" t="str">
        <f>VLOOKUP($B48,SAMC!$A:$F,5,0)</f>
        <v>Aguardando Planejamento</v>
      </c>
      <c r="E48" s="51" t="str">
        <f>VLOOKUP($B48,SAMC!$A:$F,6,0)</f>
        <v>Aguardando classif contabil</v>
      </c>
      <c r="F48" s="52"/>
      <c r="G48" s="52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4"/>
      <c r="BA48" s="31"/>
      <c r="BB48" s="31"/>
    </row>
    <row r="49" spans="2:54" s="32" customFormat="1" ht="30" customHeight="1" x14ac:dyDescent="0.35">
      <c r="B49" s="41" t="s">
        <v>553</v>
      </c>
      <c r="C49" s="49" t="str">
        <f>VLOOKUP($B49,SAMC!$A:$F,2,0)</f>
        <v>IN-5250-24-092 - PT-200 - Civil e Arquitetura</v>
      </c>
      <c r="D49" s="51" t="str">
        <f>VLOOKUP($B49,SAMC!$A:$F,5,0)</f>
        <v>Aguardando Planejamento</v>
      </c>
      <c r="E49" s="51" t="str">
        <f>VLOOKUP($B49,SAMC!$A:$F,6,0)</f>
        <v>Aguardando classif contabil</v>
      </c>
      <c r="F49" s="52"/>
      <c r="G49" s="52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4"/>
      <c r="BA49" s="31"/>
      <c r="BB49" s="31"/>
    </row>
    <row r="50" spans="2:54" s="32" customFormat="1" ht="30" customHeight="1" x14ac:dyDescent="0.35">
      <c r="B50" s="41" t="s">
        <v>555</v>
      </c>
      <c r="C50" s="49" t="str">
        <f>VLOOKUP($B50,SAMC!$A:$F,2,0)</f>
        <v>IN - 5250-24-085 - Phase-Out do Diesel S500 - Mudança 2.1 - Aquisição de Bens (Tubovias)</v>
      </c>
      <c r="D50" s="51" t="str">
        <f>VLOOKUP($B50,SAMC!$A:$F,5,0)</f>
        <v>Em Andamento</v>
      </c>
      <c r="E50" s="51" t="str">
        <f>VLOOKUP($B50,SAMC!$A:$F,6,0)</f>
        <v>Em Andamento</v>
      </c>
      <c r="F50" s="52"/>
      <c r="G50" s="52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4"/>
      <c r="BA50" s="31"/>
      <c r="BB50" s="31"/>
    </row>
    <row r="51" spans="2:54" s="32" customFormat="1" ht="30" customHeight="1" x14ac:dyDescent="0.35">
      <c r="B51" s="41" t="s">
        <v>557</v>
      </c>
      <c r="C51" s="49" t="str">
        <f>VLOOKUP($B51,SAMC!$A:$F,2,0)</f>
        <v>IN - 5250-24-085 - Phase-Out do Diesel S500 - Mudança 2.1 - Fabricação (Tubovias)</v>
      </c>
      <c r="D51" s="51" t="str">
        <f>VLOOKUP($B51,SAMC!$A:$F,5,0)</f>
        <v>Em Andamento</v>
      </c>
      <c r="E51" s="51" t="str">
        <f>VLOOKUP($B51,SAMC!$A:$F,6,0)</f>
        <v>Em Andamento</v>
      </c>
      <c r="F51" s="52"/>
      <c r="G51" s="52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4"/>
      <c r="BA51" s="31"/>
      <c r="BB51" s="31"/>
    </row>
    <row r="52" spans="2:54" s="32" customFormat="1" ht="30" customHeight="1" x14ac:dyDescent="0.35">
      <c r="B52" s="40" t="s">
        <v>559</v>
      </c>
      <c r="C52" s="49" t="str">
        <f>VLOOKUP($B52,SAMC!$A:$F,2,0)</f>
        <v>IN - 5250-24-085 - Phase-Out do Diesel S500 - Mudança 2.1 - Montagem (Tubovias)</v>
      </c>
      <c r="D52" s="51" t="str">
        <f>VLOOKUP($B52,SAMC!$A:$F,5,0)</f>
        <v>Em Andamento</v>
      </c>
      <c r="E52" s="51" t="str">
        <f>VLOOKUP($B52,SAMC!$A:$F,6,0)</f>
        <v>Em Andamento</v>
      </c>
      <c r="F52" s="52"/>
      <c r="G52" s="52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4"/>
      <c r="BA52" s="31"/>
      <c r="BB52" s="31"/>
    </row>
    <row r="53" spans="2:54" s="32" customFormat="1" ht="30" customHeight="1" x14ac:dyDescent="0.35">
      <c r="B53" s="40" t="s">
        <v>561</v>
      </c>
      <c r="C53" s="49" t="str">
        <f>VLOOKUP($B53,SAMC!$A:$F,2,0)</f>
        <v>5250-24-043 - Aumento da Capacidade e Cobertura SAO (TOPOGRAFIA)</v>
      </c>
      <c r="D53" s="51" t="str">
        <f>VLOOKUP($B53,SAMC!$A:$F,5,0)</f>
        <v>Aguardando Planejamento</v>
      </c>
      <c r="E53" s="51" t="str">
        <f>VLOOKUP($B53,SAMC!$A:$F,6,0)</f>
        <v>Concluída</v>
      </c>
      <c r="F53" s="52"/>
      <c r="G53" s="52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4"/>
      <c r="BA53" s="31"/>
      <c r="BB53" s="31"/>
    </row>
    <row r="54" spans="2:54" s="32" customFormat="1" ht="30" customHeight="1" x14ac:dyDescent="0.35">
      <c r="B54" s="40" t="s">
        <v>563</v>
      </c>
      <c r="C54" s="49" t="str">
        <f>VLOOKUP($B54,SAMC!$A:$F,2,0)</f>
        <v>RTSB 2025 - TOPOGRAFIA - BARRAGEM IBIRITÉ</v>
      </c>
      <c r="D54" s="51" t="str">
        <f>VLOOKUP($B54,SAMC!$A:$F,5,0)</f>
        <v>Aguardando Planejamento</v>
      </c>
      <c r="E54" s="51" t="str">
        <f>VLOOKUP($B54,SAMC!$A:$F,6,0)</f>
        <v>Concluída</v>
      </c>
      <c r="F54" s="52"/>
      <c r="G54" s="52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4"/>
      <c r="BA54" s="31"/>
      <c r="BB54" s="31"/>
    </row>
    <row r="55" spans="2:54" s="32" customFormat="1" ht="30" customHeight="1" x14ac:dyDescent="0.35">
      <c r="B55" s="40" t="s">
        <v>565</v>
      </c>
      <c r="C55" s="49" t="str">
        <f>VLOOKUP($B55,SAMC!$A:$F,2,0)</f>
        <v>IN-5250-24-092 - LEVANTAMENTO TOPOGRÁFICO PT-200 x PT-00</v>
      </c>
      <c r="D55" s="51" t="str">
        <f>VLOOKUP($B55,SAMC!$A:$F,5,0)</f>
        <v>Em Andamento</v>
      </c>
      <c r="E55" s="51" t="str">
        <f>VLOOKUP($B55,SAMC!$A:$F,6,0)</f>
        <v>Em Andamento</v>
      </c>
      <c r="F55" s="52"/>
      <c r="G55" s="52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4"/>
      <c r="BA55" s="31"/>
      <c r="BB55" s="31"/>
    </row>
    <row r="56" spans="2:54" s="32" customFormat="1" ht="30" customHeight="1" x14ac:dyDescent="0.35">
      <c r="B56" s="40" t="s">
        <v>591</v>
      </c>
      <c r="C56" s="49" t="str">
        <f>VLOOKUP($B56,SAMC!$A:$F,2,0)</f>
        <v>RECOMPOSIÇÃO DA REDE DE DRENAGEM P3</v>
      </c>
      <c r="D56" s="51" t="str">
        <f>VLOOKUP($B56,SAMC!$A:$F,5,0)</f>
        <v>Aguardando Planejamento</v>
      </c>
      <c r="E56" s="51" t="str">
        <f>VLOOKUP($B56,SAMC!$A:$F,6,0)</f>
        <v>Aguardando classif contabil</v>
      </c>
      <c r="F56" s="52"/>
      <c r="G56" s="52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4"/>
      <c r="BA56" s="31"/>
      <c r="BB56" s="31"/>
    </row>
    <row r="57" spans="2:54" s="32" customFormat="1" ht="30" customHeight="1" x14ac:dyDescent="0.35">
      <c r="B57" s="40" t="s">
        <v>593</v>
      </c>
      <c r="C57" s="49" t="str">
        <f>VLOOKUP($B57,SAMC!$A:$F,2,0)</f>
        <v>Rede Envelopada - Armazéns S5 x S6</v>
      </c>
      <c r="D57" s="51" t="str">
        <f>VLOOKUP($B57,SAMC!$A:$F,5,0)</f>
        <v>Em Andamento</v>
      </c>
      <c r="E57" s="51" t="str">
        <f>VLOOKUP($B57,SAMC!$A:$F,6,0)</f>
        <v>Em Andamento</v>
      </c>
      <c r="F57" s="52"/>
      <c r="G57" s="52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4"/>
      <c r="BA57" s="31"/>
      <c r="BB57" s="31"/>
    </row>
    <row r="58" spans="2:54" s="32" customFormat="1" ht="30" customHeight="1" x14ac:dyDescent="0.35">
      <c r="B58" s="40" t="s">
        <v>597</v>
      </c>
      <c r="C58" s="49" t="str">
        <f>VLOOKUP($B58,SAMC!$A:$F,2,0)</f>
        <v>ATIVIDADE HS - LIMPEZA DE ROTA - ÁREA ETE</v>
      </c>
      <c r="D58" s="51" t="str">
        <f>VLOOKUP($B58,SAMC!$A:$F,5,0)</f>
        <v>Em Andamento</v>
      </c>
      <c r="E58" s="51" t="str">
        <f>VLOOKUP($B58,SAMC!$A:$F,6,0)</f>
        <v>Em Andamento</v>
      </c>
      <c r="F58" s="52"/>
      <c r="G58" s="52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4"/>
      <c r="BA58" s="31"/>
      <c r="BB58" s="31"/>
    </row>
    <row r="59" spans="2:54" s="32" customFormat="1" ht="30" customHeight="1" x14ac:dyDescent="0.35">
      <c r="B59" s="40" t="s">
        <v>599</v>
      </c>
      <c r="C59" s="49" t="str">
        <f>VLOOKUP($B59,SAMC!$A:$F,2,0)</f>
        <v>CALDEIRAS 0121-F-001 ABC - FUNDAÇÃO PARA GRUA</v>
      </c>
      <c r="D59" s="51" t="str">
        <f>VLOOKUP($B59,SAMC!$A:$F,5,0)</f>
        <v>Em Andamento</v>
      </c>
      <c r="E59" s="51" t="str">
        <f>VLOOKUP($B59,SAMC!$A:$F,6,0)</f>
        <v>Em Andamento</v>
      </c>
      <c r="F59" s="52"/>
      <c r="G59" s="52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4"/>
      <c r="BA59" s="31"/>
      <c r="BB59" s="31"/>
    </row>
    <row r="60" spans="2:54" s="32" customFormat="1" ht="30" customHeight="1" x14ac:dyDescent="0.35">
      <c r="B60" s="40" t="s">
        <v>601</v>
      </c>
      <c r="C60" s="49" t="str">
        <f>VLOOKUP($B60,SAMC!$A:$F,2,0)</f>
        <v>IN-5250-24-062 - Adequações CEM´s - Mudança 1 - U-003 (Instrumentação)</v>
      </c>
      <c r="D60" s="51" t="str">
        <f>VLOOKUP($B60,SAMC!$A:$F,5,0)</f>
        <v>Em Andamento</v>
      </c>
      <c r="E60" s="51" t="str">
        <f>VLOOKUP($B60,SAMC!$A:$F,6,0)</f>
        <v>Em Andamento</v>
      </c>
      <c r="F60" s="52"/>
      <c r="G60" s="52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4"/>
      <c r="BA60" s="31"/>
      <c r="BB60" s="31"/>
    </row>
    <row r="61" spans="2:54" s="32" customFormat="1" ht="30" customHeight="1" x14ac:dyDescent="0.35">
      <c r="B61" s="40" t="s">
        <v>603</v>
      </c>
      <c r="C61" s="49" t="str">
        <f>VLOOKUP($B61,SAMC!$A:$F,2,0)</f>
        <v>IN-5250-24-062 - Adequações CEM´s - Mudança 2 - U-103 (Elétrica)</v>
      </c>
      <c r="D61" s="51" t="str">
        <f>VLOOKUP($B61,SAMC!$A:$F,5,0)</f>
        <v>Encaminhado p/ o fornecedor</v>
      </c>
      <c r="E61" s="51" t="str">
        <f>VLOOKUP($B61,SAMC!$A:$F,6,0)</f>
        <v>Encaminhado p/ o fornecedor</v>
      </c>
      <c r="F61" s="52"/>
      <c r="G61" s="52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4"/>
      <c r="BA61" s="31"/>
      <c r="BB61" s="31"/>
    </row>
    <row r="62" spans="2:54" s="32" customFormat="1" ht="30" customHeight="1" thickBot="1" x14ac:dyDescent="0.4">
      <c r="B62" s="40" t="s">
        <v>605</v>
      </c>
      <c r="C62" s="49" t="str">
        <f>VLOOKUP($B62,SAMC!$A:$F,2,0)</f>
        <v>IN-5250-24-062 - Adequações CEM´s - Mudança 2 - U-103 (Instrumentação)</v>
      </c>
      <c r="D62" s="51" t="str">
        <f>VLOOKUP($B62,SAMC!$A:$F,5,0)</f>
        <v>Encaminhado p/ o fornecedor</v>
      </c>
      <c r="E62" s="51" t="str">
        <f>VLOOKUP($B62,SAMC!$A:$F,6,0)</f>
        <v>Encaminhado p/ o fornecedor</v>
      </c>
      <c r="F62" s="52"/>
      <c r="G62" s="52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4"/>
      <c r="BA62" s="31"/>
      <c r="BB62" s="31"/>
    </row>
    <row r="63" spans="2:54" s="48" customFormat="1" ht="30" customHeight="1" thickBot="1" x14ac:dyDescent="0.3">
      <c r="B63" s="107" t="s">
        <v>607</v>
      </c>
      <c r="C63" s="49" t="str">
        <f>VLOOKUP($B63,SAMC!$A:$F,2,0)</f>
        <v>IN-5250-24-062 - Adequações CEM´s - Mudança 3 - U-114 (Elétrica)</v>
      </c>
      <c r="D63" s="51" t="str">
        <f>VLOOKUP($B63,SAMC!$A:$F,5,0)</f>
        <v>Encaminhado p/ o fornecedor</v>
      </c>
      <c r="E63" s="51" t="str">
        <f>VLOOKUP($B63,SAMC!$A:$F,6,0)</f>
        <v>Encaminhado p/ o fornecedor</v>
      </c>
      <c r="F63" s="111"/>
      <c r="G63" s="111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  <c r="AM63" s="113"/>
      <c r="AN63" s="113"/>
      <c r="AO63" s="113"/>
      <c r="AP63" s="113"/>
      <c r="AQ63" s="113"/>
      <c r="AR63" s="113"/>
      <c r="AS63" s="113"/>
      <c r="AT63" s="113"/>
      <c r="AU63" s="113"/>
      <c r="AV63" s="113"/>
      <c r="AW63" s="113"/>
      <c r="AX63" s="113"/>
      <c r="AY63" s="113"/>
      <c r="AZ63" s="114"/>
      <c r="BA63" s="31"/>
      <c r="BB63" s="31"/>
    </row>
    <row r="64" spans="2:54" s="32" customFormat="1" ht="30" customHeight="1" x14ac:dyDescent="0.35">
      <c r="B64" s="40" t="s">
        <v>609</v>
      </c>
      <c r="C64" s="49" t="str">
        <f>VLOOKUP($B64,SAMC!$A:$F,2,0)</f>
        <v>IN-5250-24-062 - Adequações CEM´s - Mudança 3 - U-114 (Instrumentação)</v>
      </c>
      <c r="D64" s="51" t="str">
        <f>VLOOKUP($B64,SAMC!$A:$F,5,0)</f>
        <v>Encaminhado p/ o fornecedor</v>
      </c>
      <c r="E64" s="51" t="str">
        <f>VLOOKUP($B64,SAMC!$A:$F,6,0)</f>
        <v>Encaminhado p/ o fornecedor</v>
      </c>
      <c r="F64" s="52"/>
      <c r="G64" s="52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4"/>
      <c r="BA64" s="31"/>
      <c r="BB64" s="31"/>
    </row>
    <row r="65" spans="2:54" s="32" customFormat="1" ht="30" customHeight="1" x14ac:dyDescent="0.35">
      <c r="B65" s="40" t="s">
        <v>611</v>
      </c>
      <c r="C65" s="49" t="str">
        <f>VLOOKUP($B65,SAMC!$A:$F,2,0)</f>
        <v>IN-5250-24-062 - Adequações CEM´s - Mudança 4 - U-121 (Instrumentação)</v>
      </c>
      <c r="D65" s="51" t="str">
        <f>VLOOKUP($B65,SAMC!$A:$F,5,0)</f>
        <v>Encaminhado p/ o fornecedor</v>
      </c>
      <c r="E65" s="51" t="str">
        <f>VLOOKUP($B65,SAMC!$A:$F,6,0)</f>
        <v>Encaminhado p/ o fornecedor</v>
      </c>
      <c r="F65" s="52"/>
      <c r="G65" s="52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4"/>
      <c r="BA65" s="31"/>
      <c r="BB65" s="31"/>
    </row>
    <row r="66" spans="2:54" s="32" customFormat="1" ht="30" customHeight="1" thickBot="1" x14ac:dyDescent="0.4">
      <c r="B66" s="40" t="s">
        <v>613</v>
      </c>
      <c r="C66" s="49" t="str">
        <f>VLOOKUP($B66,SAMC!$A:$F,2,0)</f>
        <v>ELÉTRICA E INSTRUMENTAÇÃO - ALIMENTAÇÕES PROVISÓRIAS TAF - SDCD UDAV II</v>
      </c>
      <c r="D66" s="51" t="str">
        <f>VLOOKUP($B66,SAMC!$A:$F,5,0)</f>
        <v>Em Revisão</v>
      </c>
      <c r="E66" s="51" t="str">
        <f>VLOOKUP($B66,SAMC!$A:$F,6,0)</f>
        <v>Em Revisão</v>
      </c>
      <c r="F66" s="52"/>
      <c r="G66" s="52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4"/>
      <c r="BA66" s="31"/>
      <c r="BB66" s="31"/>
    </row>
    <row r="67" spans="2:54" s="48" customFormat="1" ht="30" customHeight="1" thickBot="1" x14ac:dyDescent="0.3">
      <c r="B67" s="107" t="s">
        <v>615</v>
      </c>
      <c r="C67" s="49" t="str">
        <f>VLOOKUP($B67,SAMC!$A:$F,2,0)</f>
        <v>TOPOGRAFIA - 0027-TQ-0035B</v>
      </c>
      <c r="D67" s="51" t="str">
        <f>VLOOKUP($B67,SAMC!$A:$F,5,0)</f>
        <v>Em Andamento</v>
      </c>
      <c r="E67" s="51" t="str">
        <f>VLOOKUP($B67,SAMC!$A:$F,6,0)</f>
        <v>Em Andamento</v>
      </c>
      <c r="F67" s="111"/>
      <c r="G67" s="111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  <c r="AM67" s="113"/>
      <c r="AN67" s="113"/>
      <c r="AO67" s="113"/>
      <c r="AP67" s="113"/>
      <c r="AQ67" s="113"/>
      <c r="AR67" s="113"/>
      <c r="AS67" s="113"/>
      <c r="AT67" s="113"/>
      <c r="AU67" s="113"/>
      <c r="AV67" s="113"/>
      <c r="AW67" s="113"/>
      <c r="AX67" s="113"/>
      <c r="AY67" s="113"/>
      <c r="AZ67" s="114"/>
      <c r="BA67" s="31"/>
      <c r="BB67" s="31"/>
    </row>
    <row r="68" spans="2:54" s="32" customFormat="1" ht="30" customHeight="1" x14ac:dyDescent="0.35">
      <c r="B68" s="40" t="s">
        <v>617</v>
      </c>
      <c r="C68" s="49" t="str">
        <f>VLOOKUP($B68,SAMC!$A:$F,2,0)</f>
        <v>TOPOGRAFIA - 0027-TQ-0037B</v>
      </c>
      <c r="D68" s="51" t="str">
        <f>VLOOKUP($B68,SAMC!$A:$F,5,0)</f>
        <v>Em Andamento</v>
      </c>
      <c r="E68" s="51" t="str">
        <f>VLOOKUP($B68,SAMC!$A:$F,6,0)</f>
        <v>Em Andamento</v>
      </c>
      <c r="F68" s="52"/>
      <c r="G68" s="52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4"/>
      <c r="BA68" s="31"/>
      <c r="BB68" s="31"/>
    </row>
    <row r="69" spans="2:54" s="32" customFormat="1" ht="30" customHeight="1" x14ac:dyDescent="0.35">
      <c r="B69" s="40" t="s">
        <v>619</v>
      </c>
      <c r="C69" s="49" t="str">
        <f>VLOOKUP($B69,SAMC!$A:$F,2,0)</f>
        <v>TOPOGRAFIA - 0027-TQ-0001N</v>
      </c>
      <c r="D69" s="51" t="str">
        <f>VLOOKUP($B69,SAMC!$A:$F,5,0)</f>
        <v>Em Andamento</v>
      </c>
      <c r="E69" s="51" t="str">
        <f>VLOOKUP($B69,SAMC!$A:$F,6,0)</f>
        <v>Em Andamento</v>
      </c>
      <c r="F69" s="52"/>
      <c r="G69" s="52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4"/>
      <c r="BA69" s="31"/>
      <c r="BB69" s="31"/>
    </row>
    <row r="70" spans="2:54" s="32" customFormat="1" ht="30" customHeight="1" x14ac:dyDescent="0.35">
      <c r="B70" s="40" t="s">
        <v>621</v>
      </c>
      <c r="C70" s="49" t="str">
        <f>VLOOKUP($B70,SAMC!$A:$F,2,0)</f>
        <v>TOPOGRAFIA - 0027-TQ-0001E</v>
      </c>
      <c r="D70" s="51" t="str">
        <f>VLOOKUP($B70,SAMC!$A:$F,5,0)</f>
        <v>Em Andamento</v>
      </c>
      <c r="E70" s="51" t="str">
        <f>VLOOKUP($B70,SAMC!$A:$F,6,0)</f>
        <v>Em Andamento</v>
      </c>
      <c r="F70" s="52"/>
      <c r="G70" s="52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4"/>
      <c r="BA70" s="31"/>
      <c r="BB70" s="31"/>
    </row>
    <row r="71" spans="2:54" s="32" customFormat="1" ht="30" customHeight="1" x14ac:dyDescent="0.35">
      <c r="B71" s="40" t="s">
        <v>623</v>
      </c>
      <c r="C71" s="49" t="str">
        <f>VLOOKUP($B71,SAMC!$A:$F,2,0)</f>
        <v>DRENAGEM TUBOVIA DIRECIONADA PARA ALE</v>
      </c>
      <c r="D71" s="51" t="str">
        <f>VLOOKUP($B71,SAMC!$A:$F,5,0)</f>
        <v>Aguardando Planejamento</v>
      </c>
      <c r="E71" s="51" t="str">
        <f>VLOOKUP($B71,SAMC!$A:$F,6,0)</f>
        <v>Concluída</v>
      </c>
      <c r="F71" s="52"/>
      <c r="G71" s="52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4"/>
      <c r="BA71" s="31"/>
      <c r="BB71" s="31"/>
    </row>
    <row r="72" spans="2:54" s="32" customFormat="1" ht="30" customHeight="1" x14ac:dyDescent="0.35">
      <c r="B72" s="40" t="s">
        <v>625</v>
      </c>
      <c r="C72" s="49" t="str">
        <f>VLOOKUP($B72,SAMC!$A:$F,2,0)</f>
        <v>UNIDADE 47 - TANQUE DE ÁGUA ÁCIDA</v>
      </c>
      <c r="D72" s="51" t="str">
        <f>VLOOKUP($B72,SAMC!$A:$F,5,0)</f>
        <v>Em Andamento</v>
      </c>
      <c r="E72" s="51" t="str">
        <f>VLOOKUP($B72,SAMC!$A:$F,6,0)</f>
        <v>Em Andamento</v>
      </c>
      <c r="F72" s="52"/>
      <c r="G72" s="52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4"/>
      <c r="BA72" s="31"/>
      <c r="BB72" s="31"/>
    </row>
    <row r="73" spans="2:54" s="32" customFormat="1" ht="30" customHeight="1" x14ac:dyDescent="0.35">
      <c r="B73" s="40" t="s">
        <v>627</v>
      </c>
      <c r="C73" s="49" t="str">
        <f>VLOOKUP($B73,SAMC!$A:$F,2,0)</f>
        <v>FURO DE SONDAGEM - REATOR 110-R-01</v>
      </c>
      <c r="D73" s="51" t="str">
        <f>VLOOKUP($B73,SAMC!$A:$F,5,0)</f>
        <v>Reprovado pelo responsável</v>
      </c>
      <c r="E73" s="51" t="str">
        <f>VLOOKUP($B73,SAMC!$A:$F,6,0)</f>
        <v>Em Andamento</v>
      </c>
      <c r="F73" s="52"/>
      <c r="G73" s="52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4"/>
      <c r="BA73" s="31"/>
      <c r="BB73" s="31"/>
    </row>
    <row r="74" spans="2:54" s="32" customFormat="1" ht="30" customHeight="1" x14ac:dyDescent="0.35">
      <c r="B74" s="40" t="s">
        <v>629</v>
      </c>
      <c r="C74" s="49" t="str">
        <f>VLOOKUP($B74,SAMC!$A:$F,2,0)</f>
        <v>TOPOGRAFIA U-623 / DRENAGEM PLUVIAL - BLOCO L</v>
      </c>
      <c r="D74" s="51" t="str">
        <f>VLOOKUP($B74,SAMC!$A:$F,5,0)</f>
        <v>Em Andamento</v>
      </c>
      <c r="E74" s="51" t="str">
        <f>VLOOKUP($B74,SAMC!$A:$F,6,0)</f>
        <v>Em Andamento</v>
      </c>
      <c r="F74" s="52"/>
      <c r="G74" s="52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4"/>
      <c r="BA74" s="31"/>
      <c r="BB74" s="31"/>
    </row>
    <row r="75" spans="2:54" s="32" customFormat="1" ht="30" customHeight="1" thickBot="1" x14ac:dyDescent="0.4">
      <c r="B75" s="40" t="s">
        <v>631</v>
      </c>
      <c r="C75" s="49" t="str">
        <f>VLOOKUP($B75,SAMC!$A:$F,2,0)</f>
        <v>TOPOGRAFIA - DRENAGEM CONTAMINADA BLOCO G</v>
      </c>
      <c r="D75" s="51" t="str">
        <f>VLOOKUP($B75,SAMC!$A:$F,5,0)</f>
        <v>Em Andamento</v>
      </c>
      <c r="E75" s="51" t="str">
        <f>VLOOKUP($B75,SAMC!$A:$F,6,0)</f>
        <v>Em Andamento</v>
      </c>
      <c r="F75" s="52"/>
      <c r="G75" s="52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4"/>
      <c r="BA75" s="31"/>
      <c r="BB75" s="31"/>
    </row>
    <row r="76" spans="2:54" s="48" customFormat="1" ht="30" customHeight="1" thickBot="1" x14ac:dyDescent="0.3">
      <c r="B76" s="107" t="s">
        <v>633</v>
      </c>
      <c r="C76" s="49" t="str">
        <f>VLOOKUP($B76,SAMC!$A:$F,2,0)</f>
        <v>IN-5250-23-019 - TOPOGRAFIA - ESTRUTURA PLATAFORMA PERMUTADORES</v>
      </c>
      <c r="D76" s="51" t="str">
        <f>VLOOKUP($B76,SAMC!$A:$F,5,0)</f>
        <v>Aguardando Planejamento</v>
      </c>
      <c r="E76" s="51" t="str">
        <f>VLOOKUP($B76,SAMC!$A:$F,6,0)</f>
        <v>Aguardando classif contabil</v>
      </c>
      <c r="F76" s="111"/>
      <c r="G76" s="111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  <c r="AM76" s="113"/>
      <c r="AN76" s="113"/>
      <c r="AO76" s="113"/>
      <c r="AP76" s="113"/>
      <c r="AQ76" s="113"/>
      <c r="AR76" s="113"/>
      <c r="AS76" s="113"/>
      <c r="AT76" s="113"/>
      <c r="AU76" s="113"/>
      <c r="AV76" s="113"/>
      <c r="AW76" s="113"/>
      <c r="AX76" s="113"/>
      <c r="AY76" s="113"/>
      <c r="AZ76" s="114"/>
      <c r="BA76" s="31"/>
      <c r="BB76" s="31"/>
    </row>
    <row r="77" spans="2:54" s="32" customFormat="1" ht="30" customHeight="1" x14ac:dyDescent="0.35">
      <c r="B77" s="40" t="s">
        <v>644</v>
      </c>
      <c r="C77" s="49" t="str">
        <f>VLOOKUP($B77,SAMC!$A:$F,2,0)</f>
        <v>Manutenção Civil - PÁTIO DE ENXOFRE</v>
      </c>
      <c r="D77" s="51" t="str">
        <f>VLOOKUP($B77,SAMC!$A:$F,5,0)</f>
        <v>Aguardando Aprovação da Revisão</v>
      </c>
      <c r="E77" s="51" t="str">
        <f>VLOOKUP($B77,SAMC!$A:$F,6,0)</f>
        <v>Aguardando Aprovação da Revisão</v>
      </c>
      <c r="F77" s="52"/>
      <c r="G77" s="52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4"/>
      <c r="BA77" s="31"/>
      <c r="BB77" s="31"/>
    </row>
    <row r="78" spans="2:54" s="32" customFormat="1" ht="30" customHeight="1" x14ac:dyDescent="0.35">
      <c r="B78" s="40" t="s">
        <v>646</v>
      </c>
      <c r="C78" s="49" t="str">
        <f>VLOOKUP($B78,SAMC!$A:$F,2,0)</f>
        <v>Manutenção Civil - CANAL DE PINTADOS</v>
      </c>
      <c r="D78" s="51" t="str">
        <f>VLOOKUP($B78,SAMC!$A:$F,5,0)</f>
        <v>Em Andamento</v>
      </c>
      <c r="E78" s="51" t="str">
        <f>VLOOKUP($B78,SAMC!$A:$F,6,0)</f>
        <v>Em Andamento</v>
      </c>
      <c r="F78" s="52"/>
      <c r="G78" s="52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4"/>
      <c r="BA78" s="31"/>
      <c r="BB78" s="31"/>
    </row>
    <row r="79" spans="2:54" s="32" customFormat="1" ht="30" customHeight="1" x14ac:dyDescent="0.35">
      <c r="B79" s="40" t="s">
        <v>648</v>
      </c>
      <c r="C79" s="49" t="str">
        <f>VLOOKUP($B79,SAMC!$A:$F,2,0)</f>
        <v>CFTV U-47</v>
      </c>
      <c r="D79" s="51" t="str">
        <f>VLOOKUP($B79,SAMC!$A:$F,5,0)</f>
        <v>Encaminhado p/ o fornecedor</v>
      </c>
      <c r="E79" s="51" t="str">
        <f>VLOOKUP($B79,SAMC!$A:$F,6,0)</f>
        <v>Encaminhado p/ o fornecedor</v>
      </c>
      <c r="F79" s="52"/>
      <c r="G79" s="52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4"/>
      <c r="BA79" s="31"/>
      <c r="BB79" s="31"/>
    </row>
    <row r="80" spans="2:54" s="32" customFormat="1" ht="30" customHeight="1" x14ac:dyDescent="0.35">
      <c r="B80" s="40" t="s">
        <v>650</v>
      </c>
      <c r="C80" s="49" t="str">
        <f>VLOOKUP($B80,SAMC!$A:$F,2,0)</f>
        <v>REF0143952_108-FV-0084 /FT-084 CORIOLIS (TUBULAÇÃO)</v>
      </c>
      <c r="D80" s="51" t="str">
        <f>VLOOKUP($B80,SAMC!$A:$F,5,0)</f>
        <v>Em Revisão</v>
      </c>
      <c r="E80" s="51" t="str">
        <f>VLOOKUP($B80,SAMC!$A:$F,6,0)</f>
        <v>Em Revisão</v>
      </c>
      <c r="F80" s="52"/>
      <c r="G80" s="52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4"/>
      <c r="BA80" s="31"/>
      <c r="BB80" s="31"/>
    </row>
    <row r="81" spans="2:54" s="32" customFormat="1" ht="30" customHeight="1" x14ac:dyDescent="0.35">
      <c r="B81" s="40" t="s">
        <v>652</v>
      </c>
      <c r="C81" s="49" t="str">
        <f>VLOOKUP($B81,SAMC!$A:$F,2,0)</f>
        <v>REF0143952_108-FV-0084 /FT-084 CORIOLIS (INSTRUMENTAÇÃO)</v>
      </c>
      <c r="D81" s="51" t="str">
        <f>VLOOKUP($B81,SAMC!$A:$F,5,0)</f>
        <v>Aguardando Aprovação da Revisão</v>
      </c>
      <c r="E81" s="51" t="str">
        <f>VLOOKUP($B81,SAMC!$A:$F,6,0)</f>
        <v>Aguardando Aprovação da Revisão</v>
      </c>
      <c r="F81" s="52"/>
      <c r="G81" s="52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4"/>
      <c r="BA81" s="31"/>
      <c r="BB81" s="31"/>
    </row>
    <row r="82" spans="2:54" s="32" customFormat="1" ht="30" customHeight="1" x14ac:dyDescent="0.35">
      <c r="B82" s="40" t="s">
        <v>654</v>
      </c>
      <c r="C82" s="49" t="str">
        <f>VLOOKUP($B82,SAMC!$A:$F,2,0)</f>
        <v>REF0143952_108-FV-0084 /FT-084 CORIOLIS (AUTOMAÇÃO)</v>
      </c>
      <c r="D82" s="51" t="str">
        <f>VLOOKUP($B82,SAMC!$A:$F,5,0)</f>
        <v>Em Revisão</v>
      </c>
      <c r="E82" s="51" t="str">
        <f>VLOOKUP($B82,SAMC!$A:$F,6,0)</f>
        <v>Em Revisão</v>
      </c>
      <c r="F82" s="52"/>
      <c r="G82" s="52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4"/>
      <c r="BA82" s="31"/>
      <c r="BB82" s="31"/>
    </row>
    <row r="83" spans="2:54" s="32" customFormat="1" ht="30" customHeight="1" x14ac:dyDescent="0.35">
      <c r="B83" s="40" t="s">
        <v>656</v>
      </c>
      <c r="C83" s="49" t="str">
        <f>VLOOKUP($B83,SAMC!$A:$F,2,0)</f>
        <v>CONEXÃO FISICA SCADA UFV - SWITCH RAI CIC (400-PN-58)</v>
      </c>
      <c r="D83" s="51" t="str">
        <f>VLOOKUP($B83,SAMC!$A:$F,5,0)</f>
        <v>Em Andamento</v>
      </c>
      <c r="E83" s="51" t="str">
        <f>VLOOKUP($B83,SAMC!$A:$F,6,0)</f>
        <v>Em Andamento</v>
      </c>
      <c r="F83" s="52"/>
      <c r="G83" s="52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4"/>
      <c r="BA83" s="31"/>
      <c r="BB83" s="31"/>
    </row>
    <row r="84" spans="2:54" s="32" customFormat="1" ht="30" customHeight="1" x14ac:dyDescent="0.35">
      <c r="B84" s="40" t="s">
        <v>658</v>
      </c>
      <c r="C84" s="49" t="str">
        <f>VLOOKUP($B84,SAMC!$A:$F,2,0)</f>
        <v>REF0186396 - Sondagem GPR (Georadar) - IN-5250-24-092: AMPLIAÇÃO DO PT-200 E MODERNIZAÇÃO DE EQUIPAMENTOS</v>
      </c>
      <c r="D84" s="51" t="str">
        <f>VLOOKUP($B84,SAMC!$A:$F,5,0)</f>
        <v>Em Andamento</v>
      </c>
      <c r="E84" s="51" t="str">
        <f>VLOOKUP($B84,SAMC!$A:$F,6,0)</f>
        <v>Em Andamento</v>
      </c>
      <c r="F84" s="52"/>
      <c r="G84" s="52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4"/>
      <c r="BA84" s="31"/>
      <c r="BB84" s="31"/>
    </row>
    <row r="85" spans="2:54" s="32" customFormat="1" ht="30" customHeight="1" x14ac:dyDescent="0.35">
      <c r="B85" s="40" t="s">
        <v>660</v>
      </c>
      <c r="C85" s="49" t="str">
        <f>VLOOKUP($B85,SAMC!$A:$F,2,0)</f>
        <v>PMBC MIGRAÇÃO DAS BOMBAS DA U-0047 PARA O SDCD</v>
      </c>
      <c r="D85" s="51" t="str">
        <f>VLOOKUP($B85,SAMC!$A:$F,5,0)</f>
        <v>Em Andamento</v>
      </c>
      <c r="E85" s="51" t="str">
        <f>VLOOKUP($B85,SAMC!$A:$F,6,0)</f>
        <v>Em Andamento</v>
      </c>
      <c r="F85" s="52"/>
      <c r="G85" s="52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4"/>
      <c r="BA85" s="31"/>
      <c r="BB85" s="31"/>
    </row>
    <row r="86" spans="2:54" s="32" customFormat="1" ht="30" customHeight="1" x14ac:dyDescent="0.35">
      <c r="B86" s="40" t="s">
        <v>662</v>
      </c>
      <c r="C86" s="49" t="str">
        <f>VLOOKUP($B86,SAMC!$A:$F,2,0)</f>
        <v>LIMPEZA DA ÁREA MA/PM</v>
      </c>
      <c r="D86" s="51" t="str">
        <f>VLOOKUP($B86,SAMC!$A:$F,5,0)</f>
        <v>Em Andamento</v>
      </c>
      <c r="E86" s="51" t="str">
        <f>VLOOKUP($B86,SAMC!$A:$F,6,0)</f>
        <v>Em Andamento</v>
      </c>
      <c r="F86" s="52"/>
      <c r="G86" s="52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4"/>
      <c r="BA86" s="31"/>
      <c r="BB86" s="31"/>
    </row>
    <row r="87" spans="2:54" s="32" customFormat="1" ht="30" customHeight="1" x14ac:dyDescent="0.35">
      <c r="B87" s="40" t="s">
        <v>664</v>
      </c>
      <c r="C87" s="49" t="str">
        <f>VLOOKUP($B87,SAMC!$A:$F,2,0)</f>
        <v>IN - 5250-24-085 - Phase-Out do Diesel S500 - Mudança 4.1 - Aquisição de Bens (Tubovias)</v>
      </c>
      <c r="D87" s="51" t="str">
        <f>VLOOKUP($B87,SAMC!$A:$F,5,0)</f>
        <v>Em Andamento</v>
      </c>
      <c r="E87" s="51" t="str">
        <f>VLOOKUP($B87,SAMC!$A:$F,6,0)</f>
        <v>Em Andamento</v>
      </c>
      <c r="F87" s="52"/>
      <c r="G87" s="52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4"/>
      <c r="BA87" s="31"/>
      <c r="BB87" s="31"/>
    </row>
    <row r="88" spans="2:54" s="32" customFormat="1" ht="30" customHeight="1" x14ac:dyDescent="0.35">
      <c r="B88" s="40" t="s">
        <v>666</v>
      </c>
      <c r="C88" s="49" t="str">
        <f>VLOOKUP($B88,SAMC!$A:$F,2,0)</f>
        <v>IN - 5250-24-085 - Phase-Out do Diesel S500 - Mudança 4.1 - Fabricação (Tubovias)</v>
      </c>
      <c r="D88" s="51" t="str">
        <f>VLOOKUP($B88,SAMC!$A:$F,5,0)</f>
        <v>Em Andamento</v>
      </c>
      <c r="E88" s="51" t="str">
        <f>VLOOKUP($B88,SAMC!$A:$F,6,0)</f>
        <v>Em Andamento</v>
      </c>
      <c r="F88" s="52"/>
      <c r="G88" s="52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4"/>
      <c r="BA88" s="31"/>
      <c r="BB88" s="31"/>
    </row>
    <row r="89" spans="2:54" s="32" customFormat="1" ht="30" customHeight="1" x14ac:dyDescent="0.35">
      <c r="B89" s="40" t="s">
        <v>668</v>
      </c>
      <c r="C89" s="49" t="str">
        <f>VLOOKUP($B89,SAMC!$A:$F,2,0)</f>
        <v>IN - 5250-24-085 - Phase-Out do Diesel S500 - Mudança 4.1 - Montagem (Tubovias)</v>
      </c>
      <c r="D89" s="51" t="str">
        <f>VLOOKUP($B89,SAMC!$A:$F,5,0)</f>
        <v>Em Andamento</v>
      </c>
      <c r="E89" s="51" t="str">
        <f>VLOOKUP($B89,SAMC!$A:$F,6,0)</f>
        <v>Em Andamento</v>
      </c>
      <c r="F89" s="52"/>
      <c r="G89" s="52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4"/>
      <c r="BA89" s="31"/>
      <c r="BB89" s="31"/>
    </row>
    <row r="90" spans="2:54" s="32" customFormat="1" ht="30" customHeight="1" x14ac:dyDescent="0.35">
      <c r="B90" s="40" t="s">
        <v>998</v>
      </c>
      <c r="C90" s="49" t="str">
        <f>VLOOKUP($B90,SAMC!$A:$F,2,0)</f>
        <v>IN - 5250-24-051 - Melhoria do Acesso aos TQ´s de Escuros 27-TQ-116-A/B/C/D/E/F - Detalhamento - Projeto Mecânica</v>
      </c>
      <c r="D90" s="51" t="str">
        <f>VLOOKUP($B90,SAMC!$A:$F,5,0)</f>
        <v>Aguardando Aprovação</v>
      </c>
      <c r="E90" s="51" t="str">
        <f>VLOOKUP($B90,SAMC!$A:$F,6,0)</f>
        <v>Aguardando Aprovação</v>
      </c>
      <c r="F90" s="52"/>
      <c r="G90" s="52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4"/>
      <c r="BA90" s="31"/>
      <c r="BB90" s="31"/>
    </row>
    <row r="91" spans="2:54" s="32" customFormat="1" ht="30" customHeight="1" x14ac:dyDescent="0.35">
      <c r="B91" s="40" t="s">
        <v>996</v>
      </c>
      <c r="C91" s="49" t="str">
        <f>VLOOKUP($B91,SAMC!$A:$F,2,0)</f>
        <v>IN - 5250-24-051 - Melhoria do Acesso aos TQ´s de Escuros 27-TQ-116-A/B/C/D/E/F - Detalhamento - Projeto Civil</v>
      </c>
      <c r="D91" s="51" t="str">
        <f>VLOOKUP($B91,SAMC!$A:$F,5,0)</f>
        <v>Aguardando Aprovação</v>
      </c>
      <c r="E91" s="51" t="str">
        <f>VLOOKUP($B91,SAMC!$A:$F,6,0)</f>
        <v>Aguardando Aprovação</v>
      </c>
      <c r="F91" s="52"/>
      <c r="G91" s="52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4"/>
      <c r="BA91" s="31"/>
      <c r="BB91" s="31"/>
    </row>
    <row r="92" spans="2:54" s="32" customFormat="1" ht="30" customHeight="1" x14ac:dyDescent="0.35">
      <c r="B92" s="40" t="s">
        <v>994</v>
      </c>
      <c r="C92" s="49" t="str">
        <f>VLOOKUP($B92,SAMC!$A:$F,2,0)</f>
        <v>IN - 5250-24-051 - Melhoria do Acesso aos TQ´s de Escuros 27-TQ-116-A/B/C/D/E/F - Detalhamento - Projeto Elétrica</v>
      </c>
      <c r="D92" s="51" t="str">
        <f>VLOOKUP($B92,SAMC!$A:$F,5,0)</f>
        <v>Aguardando Aprovação</v>
      </c>
      <c r="E92" s="51" t="str">
        <f>VLOOKUP($B92,SAMC!$A:$F,6,0)</f>
        <v>Aguardando Aprovação</v>
      </c>
      <c r="F92" s="52"/>
      <c r="G92" s="52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4"/>
      <c r="BA92" s="31"/>
      <c r="BB92" s="31"/>
    </row>
    <row r="93" spans="2:54" s="32" customFormat="1" ht="30" customHeight="1" x14ac:dyDescent="0.35">
      <c r="B93" s="40" t="s">
        <v>992</v>
      </c>
      <c r="C93" s="49" t="str">
        <f>VLOOKUP($B93,SAMC!$A:$F,2,0)</f>
        <v>IN - 5250-25-010 - Melhoria acesso bloco K 27-TQ-01C, D e E - Detalhamento - Projeto Mecânica</v>
      </c>
      <c r="D93" s="51" t="str">
        <f>VLOOKUP($B93,SAMC!$A:$F,5,0)</f>
        <v>Aguardando Aprovação</v>
      </c>
      <c r="E93" s="51" t="str">
        <f>VLOOKUP($B93,SAMC!$A:$F,6,0)</f>
        <v>Aguardando Aprovação</v>
      </c>
      <c r="F93" s="52"/>
      <c r="G93" s="52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4"/>
      <c r="BA93" s="31"/>
      <c r="BB93" s="31"/>
    </row>
    <row r="94" spans="2:54" s="32" customFormat="1" ht="30" customHeight="1" x14ac:dyDescent="0.35">
      <c r="B94" s="40" t="s">
        <v>990</v>
      </c>
      <c r="C94" s="49" t="str">
        <f>VLOOKUP($B94,SAMC!$A:$F,2,0)</f>
        <v>IN - 5250-25-010 - Melhoria acesso bloco K 27-TQ-01C, D e E - Detalhamento - Projeto Civil</v>
      </c>
      <c r="D94" s="51" t="str">
        <f>VLOOKUP($B94,SAMC!$A:$F,5,0)</f>
        <v>Aguardando Planejamento</v>
      </c>
      <c r="E94" s="51" t="str">
        <f>VLOOKUP($B94,SAMC!$A:$F,6,0)</f>
        <v>Aguardando classif contabil</v>
      </c>
      <c r="F94" s="52"/>
      <c r="G94" s="52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4"/>
      <c r="BA94" s="31"/>
      <c r="BB94" s="31"/>
    </row>
    <row r="95" spans="2:54" s="32" customFormat="1" ht="30" customHeight="1" x14ac:dyDescent="0.35">
      <c r="B95" s="40" t="s">
        <v>988</v>
      </c>
      <c r="C95" s="49" t="str">
        <f>VLOOKUP($B95,SAMC!$A:$F,2,0)</f>
        <v>IN - 5250-25-010 - Melhoria acesso bloco K 27-TQ-01C, D e E - Detalhamento - Projeto Elétrica</v>
      </c>
      <c r="D95" s="51" t="str">
        <f>VLOOKUP($B95,SAMC!$A:$F,5,0)</f>
        <v>Aguardando Planejamento</v>
      </c>
      <c r="E95" s="51" t="str">
        <f>VLOOKUP($B95,SAMC!$A:$F,6,0)</f>
        <v>Aguardando classif contabil</v>
      </c>
      <c r="F95" s="52"/>
      <c r="G95" s="52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4"/>
      <c r="BA95" s="31"/>
      <c r="BB95" s="31"/>
    </row>
    <row r="96" spans="2:54" s="32" customFormat="1" ht="30" customHeight="1" x14ac:dyDescent="0.35">
      <c r="B96" s="40" t="s">
        <v>986</v>
      </c>
      <c r="C96" s="49" t="str">
        <f>VLOOKUP($B96,SAMC!$A:$F,2,0)</f>
        <v>IN - 5250-25-011 - Melhoria acesso bloco P 27-TQ-01 K e M - Detalhamento - Projeto Mecânica</v>
      </c>
      <c r="D96" s="51" t="str">
        <f>VLOOKUP($B96,SAMC!$A:$F,5,0)</f>
        <v>Aguardando Planejamento</v>
      </c>
      <c r="E96" s="51" t="str">
        <f>VLOOKUP($B96,SAMC!$A:$F,6,0)</f>
        <v>Aguardando classif contabil</v>
      </c>
      <c r="F96" s="52"/>
      <c r="G96" s="52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4"/>
      <c r="BA96" s="31"/>
      <c r="BB96" s="31"/>
    </row>
    <row r="97" spans="2:54" s="32" customFormat="1" ht="30" customHeight="1" x14ac:dyDescent="0.35">
      <c r="B97" s="40" t="s">
        <v>984</v>
      </c>
      <c r="C97" s="49" t="str">
        <f>VLOOKUP($B97,SAMC!$A:$F,2,0)</f>
        <v>IN - 5250-25-011 - Melhoria acesso bloco P 27-TQ-01 K e M - Detalhamento - Projeto Civil</v>
      </c>
      <c r="D97" s="51" t="str">
        <f>VLOOKUP($B97,SAMC!$A:$F,5,0)</f>
        <v>Aguardando Planejamento</v>
      </c>
      <c r="E97" s="51" t="str">
        <f>VLOOKUP($B97,SAMC!$A:$F,6,0)</f>
        <v>Aguardando classif contabil</v>
      </c>
      <c r="F97" s="52"/>
      <c r="G97" s="52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4"/>
      <c r="BA97" s="31"/>
      <c r="BB97" s="31"/>
    </row>
    <row r="98" spans="2:54" s="32" customFormat="1" ht="30" customHeight="1" x14ac:dyDescent="0.35">
      <c r="B98" s="40" t="s">
        <v>982</v>
      </c>
      <c r="C98" s="49" t="str">
        <f>VLOOKUP($B98,SAMC!$A:$F,2,0)</f>
        <v>IN - 5250-25-011 - Melhoria acesso bloco P 27-TQ-01 K e M - Detalhamento - Projeto Elétrica</v>
      </c>
      <c r="D98" s="51" t="str">
        <f>VLOOKUP($B98,SAMC!$A:$F,5,0)</f>
        <v>Aguardando Planejamento</v>
      </c>
      <c r="E98" s="51" t="str">
        <f>VLOOKUP($B98,SAMC!$A:$F,6,0)</f>
        <v>Aguardando classif contabil</v>
      </c>
      <c r="F98" s="52"/>
      <c r="G98" s="52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4"/>
      <c r="BA98" s="31"/>
      <c r="BB98" s="31"/>
    </row>
    <row r="99" spans="2:54" s="32" customFormat="1" ht="30" customHeight="1" x14ac:dyDescent="0.35">
      <c r="B99" s="40" t="s">
        <v>980</v>
      </c>
      <c r="C99" s="49" t="str">
        <f>VLOOKUP($B99,SAMC!$A:$F,2,0)</f>
        <v>IN - 5250-25-012 - Melhoria acesso bloco P 27-TQ-01 L e N - Detalhamento - Projeto Mecânica</v>
      </c>
      <c r="D99" s="51" t="str">
        <f>VLOOKUP($B99,SAMC!$A:$F,5,0)</f>
        <v>Aguardando Planejamento</v>
      </c>
      <c r="E99" s="51" t="str">
        <f>VLOOKUP($B99,SAMC!$A:$F,6,0)</f>
        <v>Aguardando classif contabil</v>
      </c>
      <c r="F99" s="52"/>
      <c r="G99" s="52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4"/>
      <c r="BA99" s="31"/>
      <c r="BB99" s="31"/>
    </row>
    <row r="100" spans="2:54" s="32" customFormat="1" ht="30" customHeight="1" x14ac:dyDescent="0.35">
      <c r="B100" s="40" t="s">
        <v>978</v>
      </c>
      <c r="C100" s="49" t="str">
        <f>VLOOKUP($B100,SAMC!$A:$F,2,0)</f>
        <v>IN - 5250-25-012 - Melhoria acesso bloco P 27-TQ-01 L e N - Detalhamento - Projeto Civil</v>
      </c>
      <c r="D100" s="51" t="str">
        <f>VLOOKUP($B100,SAMC!$A:$F,5,0)</f>
        <v>Aguardando Planejamento</v>
      </c>
      <c r="E100" s="51" t="str">
        <f>VLOOKUP($B100,SAMC!$A:$F,6,0)</f>
        <v>Aguardando classif contabil</v>
      </c>
      <c r="F100" s="52"/>
      <c r="G100" s="52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4"/>
      <c r="BA100" s="31"/>
      <c r="BB100" s="31"/>
    </row>
    <row r="101" spans="2:54" s="32" customFormat="1" ht="30" customHeight="1" x14ac:dyDescent="0.35">
      <c r="B101" s="40" t="s">
        <v>976</v>
      </c>
      <c r="C101" s="49" t="str">
        <f>VLOOKUP($B101,SAMC!$A:$F,2,0)</f>
        <v>IN - 5250-25-012 - Melhoria acesso bloco P 27-TQ-01 L e N - Detalhamento - Projeto Elétrica</v>
      </c>
      <c r="D101" s="51" t="str">
        <f>VLOOKUP($B101,SAMC!$A:$F,5,0)</f>
        <v>Aguardando Planejamento</v>
      </c>
      <c r="E101" s="51" t="str">
        <f>VLOOKUP($B101,SAMC!$A:$F,6,0)</f>
        <v>Aguardando classif contabil</v>
      </c>
      <c r="F101" s="52"/>
      <c r="G101" s="52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4"/>
      <c r="BA101" s="31"/>
      <c r="BB101" s="31"/>
    </row>
    <row r="102" spans="2:54" s="32" customFormat="1" ht="30" customHeight="1" x14ac:dyDescent="0.35">
      <c r="B102" s="40" t="s">
        <v>670</v>
      </c>
      <c r="C102" s="49" t="str">
        <f>VLOOKUP($B102,SAMC!$A:$F,2,0)</f>
        <v>IN-5250-23-017 - TERRAPLANAGEM U-623</v>
      </c>
      <c r="D102" s="51" t="str">
        <f>VLOOKUP($B102,SAMC!$A:$F,5,0)</f>
        <v>Em Andamento</v>
      </c>
      <c r="E102" s="51" t="str">
        <f>VLOOKUP($B102,SAMC!$A:$F,6,0)</f>
        <v>Em Andamento</v>
      </c>
      <c r="F102" s="52"/>
      <c r="G102" s="52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4"/>
      <c r="BA102" s="31"/>
      <c r="BB102" s="31"/>
    </row>
    <row r="103" spans="2:54" s="32" customFormat="1" ht="30" customHeight="1" x14ac:dyDescent="0.35">
      <c r="B103" s="40" t="s">
        <v>674</v>
      </c>
      <c r="C103" s="49" t="str">
        <f>VLOOKUP($B103,SAMC!$A:$F,2,0)</f>
        <v>U-110 - DEMOLIÇÃO FUNDAÇÃO - 110-R-01</v>
      </c>
      <c r="D103" s="51" t="str">
        <f>VLOOKUP($B103,SAMC!$A:$F,5,0)</f>
        <v>Em Andamento</v>
      </c>
      <c r="E103" s="51" t="str">
        <f>VLOOKUP($B103,SAMC!$A:$F,6,0)</f>
        <v>Em Andamento</v>
      </c>
      <c r="F103" s="52"/>
      <c r="G103" s="52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4"/>
      <c r="BA103" s="31"/>
      <c r="BB103" s="31"/>
    </row>
    <row r="104" spans="2:54" s="32" customFormat="1" ht="30" customHeight="1" x14ac:dyDescent="0.35">
      <c r="B104" s="40" t="s">
        <v>676</v>
      </c>
      <c r="C104" s="49" t="str">
        <f>VLOOKUP($B104,SAMC!$A:$F,2,0)</f>
        <v>U-110 - CONSTRUÇÃO FUNDAÇÃO - 110-R-01</v>
      </c>
      <c r="D104" s="51" t="str">
        <f>VLOOKUP($B104,SAMC!$A:$F,5,0)</f>
        <v>Em Andamento</v>
      </c>
      <c r="E104" s="51" t="str">
        <f>VLOOKUP($B104,SAMC!$A:$F,6,0)</f>
        <v>Em Andamento</v>
      </c>
      <c r="F104" s="52"/>
      <c r="G104" s="52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4"/>
      <c r="BA104" s="31"/>
      <c r="BB104" s="31"/>
    </row>
    <row r="105" spans="2:54" s="32" customFormat="1" ht="30" customHeight="1" x14ac:dyDescent="0.35">
      <c r="B105" s="40" t="s">
        <v>678</v>
      </c>
      <c r="C105" s="49" t="str">
        <f>VLOOKUP($B105,SAMC!$A:$F,2,0)</f>
        <v>FORNECIMENTO DE BENS - ALIMENTAÇÕES PROVISÓRIAS TAF - SDCD UDAV II</v>
      </c>
      <c r="D105" s="51" t="str">
        <f>VLOOKUP($B105,SAMC!$A:$F,5,0)</f>
        <v>Aguardando Planejamento</v>
      </c>
      <c r="E105" s="51" t="str">
        <f>VLOOKUP($B105,SAMC!$A:$F,6,0)</f>
        <v>Aguardando classif contabil</v>
      </c>
      <c r="F105" s="52"/>
      <c r="G105" s="52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4"/>
      <c r="BA105" s="31"/>
      <c r="BB105" s="31"/>
    </row>
    <row r="106" spans="2:54" s="32" customFormat="1" ht="30" customHeight="1" x14ac:dyDescent="0.35">
      <c r="B106" s="40" t="s">
        <v>680</v>
      </c>
      <c r="C106" s="49" t="str">
        <f>VLOOKUP($B106,SAMC!$A:$F,2,0)</f>
        <v>U-623 - RELOCAÇÃO TUBULAÇÃO SELAGEM - FABRICAÇÃO</v>
      </c>
      <c r="D106" s="51" t="str">
        <f>VLOOKUP($B106,SAMC!$A:$F,5,0)</f>
        <v>Encaminhado p/ o fornecedor</v>
      </c>
      <c r="E106" s="51" t="str">
        <f>VLOOKUP($B106,SAMC!$A:$F,6,0)</f>
        <v>Encaminhado p/ o fornecedor</v>
      </c>
      <c r="F106" s="52"/>
      <c r="G106" s="52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4"/>
      <c r="BA106" s="31"/>
      <c r="BB106" s="31"/>
    </row>
    <row r="107" spans="2:54" s="32" customFormat="1" ht="30" customHeight="1" x14ac:dyDescent="0.35">
      <c r="B107" s="40" t="s">
        <v>682</v>
      </c>
      <c r="C107" s="49" t="str">
        <f>VLOOKUP($B107,SAMC!$A:$F,2,0)</f>
        <v>U-623 - RELOCAÇÃO TUBULAÇÃO SELAGEM - MONTAGEM</v>
      </c>
      <c r="D107" s="51" t="str">
        <f>VLOOKUP($B107,SAMC!$A:$F,5,0)</f>
        <v>Encaminhado p/ o fornecedor</v>
      </c>
      <c r="E107" s="51" t="str">
        <f>VLOOKUP($B107,SAMC!$A:$F,6,0)</f>
        <v>Encaminhado p/ o fornecedor</v>
      </c>
      <c r="F107" s="52"/>
      <c r="G107" s="52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4"/>
      <c r="BA107" s="31"/>
      <c r="BB107" s="31"/>
    </row>
    <row r="108" spans="2:54" s="32" customFormat="1" ht="30" customHeight="1" x14ac:dyDescent="0.35">
      <c r="B108" s="40" t="s">
        <v>684</v>
      </c>
      <c r="C108" s="49" t="str">
        <f>VLOOKUP($B108,SAMC!$A:$F,2,0)</f>
        <v>U-623 - RELOCAÇÃO TUBULAÇÃO RACE - FABRICAÇÃO</v>
      </c>
      <c r="D108" s="51" t="str">
        <f>VLOOKUP($B108,SAMC!$A:$F,5,0)</f>
        <v>Encaminhado p/ o fornecedor</v>
      </c>
      <c r="E108" s="51" t="str">
        <f>VLOOKUP($B108,SAMC!$A:$F,6,0)</f>
        <v>Encaminhado p/ o fornecedor</v>
      </c>
      <c r="F108" s="52"/>
      <c r="G108" s="52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4"/>
      <c r="BA108" s="31"/>
      <c r="BB108" s="31"/>
    </row>
    <row r="109" spans="2:54" s="32" customFormat="1" ht="30" customHeight="1" x14ac:dyDescent="0.35">
      <c r="B109" s="40" t="s">
        <v>686</v>
      </c>
      <c r="C109" s="49" t="str">
        <f>VLOOKUP($B109,SAMC!$A:$F,2,0)</f>
        <v>U-623 - RELOCAÇÃO TUBULAÇÃO RACE - MONTAGEM</v>
      </c>
      <c r="D109" s="51" t="str">
        <f>VLOOKUP($B109,SAMC!$A:$F,5,0)</f>
        <v>Encaminhado p/ o fornecedor</v>
      </c>
      <c r="E109" s="51" t="str">
        <f>VLOOKUP($B109,SAMC!$A:$F,6,0)</f>
        <v>Encaminhado p/ o fornecedor</v>
      </c>
      <c r="F109" s="52"/>
      <c r="G109" s="52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4"/>
      <c r="BA109" s="31"/>
      <c r="BB109" s="31"/>
    </row>
    <row r="110" spans="2:54" s="32" customFormat="1" ht="30" customHeight="1" x14ac:dyDescent="0.35">
      <c r="B110" s="40" t="s">
        <v>688</v>
      </c>
      <c r="C110" s="49" t="str">
        <f>VLOOKUP($B110,SAMC!$A:$F,2,0)</f>
        <v>U-623 - RELOCAÇÃO TUBULAÇÃO - CIVIL</v>
      </c>
      <c r="D110" s="51" t="str">
        <f>VLOOKUP($B110,SAMC!$A:$F,5,0)</f>
        <v>Encaminhado p/ o fornecedor</v>
      </c>
      <c r="E110" s="51" t="str">
        <f>VLOOKUP($B110,SAMC!$A:$F,6,0)</f>
        <v>Encaminhado p/ o fornecedor</v>
      </c>
      <c r="F110" s="52"/>
      <c r="G110" s="52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4"/>
      <c r="BA110" s="31"/>
      <c r="BB110" s="31"/>
    </row>
    <row r="111" spans="2:54" s="32" customFormat="1" ht="30" customHeight="1" x14ac:dyDescent="0.35">
      <c r="B111" s="40" t="s">
        <v>690</v>
      </c>
      <c r="C111" s="49" t="str">
        <f>VLOOKUP($B111,SAMC!$A:$F,2,0)</f>
        <v>UN-623 - PONTILHÃO (AVENIDA "D") - CIVIL</v>
      </c>
      <c r="D111" s="51" t="str">
        <f>VLOOKUP($B111,SAMC!$A:$F,5,0)</f>
        <v>Encaminhado p/ o fornecedor</v>
      </c>
      <c r="E111" s="51" t="str">
        <f>VLOOKUP($B111,SAMC!$A:$F,6,0)</f>
        <v>Encaminhado p/ o fornecedor</v>
      </c>
      <c r="F111" s="52"/>
      <c r="G111" s="52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4"/>
      <c r="BA111" s="31"/>
      <c r="BB111" s="31"/>
    </row>
    <row r="112" spans="2:54" s="32" customFormat="1" ht="30" customHeight="1" x14ac:dyDescent="0.35">
      <c r="B112" s="40" t="s">
        <v>692</v>
      </c>
      <c r="C112" s="49" t="str">
        <f>VLOOKUP($B112,SAMC!$A:$F,2,0)</f>
        <v>UN-623 - CASA DE QUÍMICOS - CIVIL</v>
      </c>
      <c r="D112" s="51" t="str">
        <f>VLOOKUP($B112,SAMC!$A:$F,5,0)</f>
        <v>Encaminhado p/ o fornecedor</v>
      </c>
      <c r="E112" s="51" t="str">
        <f>VLOOKUP($B112,SAMC!$A:$F,6,0)</f>
        <v>Encaminhado p/ o fornecedor</v>
      </c>
      <c r="F112" s="52"/>
      <c r="G112" s="52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4"/>
      <c r="BA112" s="31"/>
      <c r="BB112" s="31"/>
    </row>
    <row r="113" spans="2:54" s="32" customFormat="1" ht="30" customHeight="1" x14ac:dyDescent="0.35">
      <c r="B113" s="40" t="s">
        <v>694</v>
      </c>
      <c r="C113" s="49" t="str">
        <f>VLOOKUP($B113,SAMC!$A:$F,2,0)</f>
        <v>UN-623 - CASA DE QUÍMICOS - ESTRUTURA METÁLICA</v>
      </c>
      <c r="D113" s="51" t="str">
        <f>VLOOKUP($B113,SAMC!$A:$F,5,0)</f>
        <v>Encaminhado p/ o fornecedor</v>
      </c>
      <c r="E113" s="51" t="str">
        <f>VLOOKUP($B113,SAMC!$A:$F,6,0)</f>
        <v>Encaminhado p/ o fornecedor</v>
      </c>
      <c r="F113" s="52"/>
      <c r="G113" s="52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4"/>
      <c r="BA113" s="31"/>
      <c r="BB113" s="31"/>
    </row>
    <row r="114" spans="2:54" s="32" customFormat="1" ht="30" customHeight="1" x14ac:dyDescent="0.35">
      <c r="B114" s="40" t="s">
        <v>696</v>
      </c>
      <c r="C114" s="49" t="str">
        <f>VLOOKUP($B114,SAMC!$A:$F,2,0)</f>
        <v>UN-623 - PONTILHÃO (AVENIDA "D") - MECÂNICA</v>
      </c>
      <c r="D114" s="51" t="str">
        <f>VLOOKUP($B114,SAMC!$A:$F,5,0)</f>
        <v>Encaminhado p/ o fornecedor</v>
      </c>
      <c r="E114" s="51" t="str">
        <f>VLOOKUP($B114,SAMC!$A:$F,6,0)</f>
        <v>Encaminhado p/ o fornecedor</v>
      </c>
      <c r="F114" s="52"/>
      <c r="G114" s="52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4"/>
      <c r="BA114" s="31"/>
      <c r="BB114" s="31"/>
    </row>
    <row r="115" spans="2:54" s="32" customFormat="1" ht="30" customHeight="1" x14ac:dyDescent="0.35">
      <c r="B115" s="40" t="s">
        <v>697</v>
      </c>
      <c r="C115" s="49" t="str">
        <f>VLOOKUP($B115,SAMC!$A:$F,2,0)</f>
        <v>UN-623 - CASA DE QUÍMICOS - FORNECIMENTO DE BENS</v>
      </c>
      <c r="D115" s="51" t="str">
        <f>VLOOKUP($B115,SAMC!$A:$F,5,0)</f>
        <v>Encaminhado p/ o fornecedor</v>
      </c>
      <c r="E115" s="51" t="str">
        <f>VLOOKUP($B115,SAMC!$A:$F,6,0)</f>
        <v>Encaminhado p/ o fornecedor</v>
      </c>
      <c r="F115" s="52"/>
      <c r="G115" s="52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4"/>
      <c r="BA115" s="31"/>
      <c r="BB115" s="31"/>
    </row>
    <row r="116" spans="2:54" s="32" customFormat="1" ht="30" customHeight="1" x14ac:dyDescent="0.35">
      <c r="B116" s="40" t="s">
        <v>944</v>
      </c>
      <c r="C116" s="49" t="str">
        <f>VLOOKUP($B116,SAMC!$A:$F,2,0)</f>
        <v>IN-5250-23-017 - U-623 - FUROS DE INVESTIGAÇÃO GEOTÉCNICA</v>
      </c>
      <c r="D116" s="51" t="str">
        <f>VLOOKUP($B116,SAMC!$A:$F,5,0)</f>
        <v>Encaminhado p/ o fornecedor</v>
      </c>
      <c r="E116" s="51" t="str">
        <f>VLOOKUP($B116,SAMC!$A:$F,6,0)</f>
        <v>Encaminhado p/ o fornecedor</v>
      </c>
      <c r="F116" s="52"/>
      <c r="G116" s="52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4"/>
      <c r="BA116" s="31"/>
      <c r="BB116" s="31"/>
    </row>
    <row r="117" spans="2:54" s="32" customFormat="1" ht="30" customHeight="1" x14ac:dyDescent="0.35">
      <c r="B117" s="40" t="s">
        <v>942</v>
      </c>
      <c r="C117" s="49" t="str">
        <f>VLOOKUP($B117,SAMC!$A:$F,2,0)</f>
        <v>Escaneamento Laser U-0047</v>
      </c>
      <c r="D117" s="51" t="str">
        <f>VLOOKUP($B117,SAMC!$A:$F,5,0)</f>
        <v>Em Andamento</v>
      </c>
      <c r="E117" s="51" t="str">
        <f>VLOOKUP($B117,SAMC!$A:$F,6,0)</f>
        <v>Concluída</v>
      </c>
      <c r="F117" s="52"/>
      <c r="G117" s="52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4"/>
      <c r="BA117" s="31"/>
      <c r="BB117" s="31"/>
    </row>
    <row r="118" spans="2:54" s="32" customFormat="1" ht="30" customHeight="1" x14ac:dyDescent="0.35">
      <c r="B118" s="40" t="s">
        <v>940</v>
      </c>
      <c r="C118" s="49" t="str">
        <f>VLOOKUP($B118,SAMC!$A:$F,2,0)</f>
        <v>PMBC - REFORMA ADEQUAÇÃO ÁREA DE PEÇAS</v>
      </c>
      <c r="D118" s="51" t="str">
        <f>VLOOKUP($B118,SAMC!$A:$F,5,0)</f>
        <v>Aguardando Planejamento</v>
      </c>
      <c r="E118" s="51" t="str">
        <f>VLOOKUP($B118,SAMC!$A:$F,6,0)</f>
        <v>Aguardando classif contabil</v>
      </c>
      <c r="F118" s="52"/>
      <c r="G118" s="52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4"/>
      <c r="BA118" s="31"/>
      <c r="BB118" s="31"/>
    </row>
    <row r="119" spans="2:54" s="32" customFormat="1" ht="30" customHeight="1" x14ac:dyDescent="0.35">
      <c r="B119" s="40" t="s">
        <v>938</v>
      </c>
      <c r="C119" s="49" t="str">
        <f>VLOOKUP($B119,SAMC!$A:$F,2,0)</f>
        <v>PMBC - REFORMA ADEQUAÇÃO ÁREA DE PEÇAS - BENS</v>
      </c>
      <c r="D119" s="51" t="str">
        <f>VLOOKUP($B119,SAMC!$A:$F,5,0)</f>
        <v>Aguardando Planejamento</v>
      </c>
      <c r="E119" s="51" t="str">
        <f>VLOOKUP($B119,SAMC!$A:$F,6,0)</f>
        <v>Aguardando classif contabil</v>
      </c>
      <c r="F119" s="52"/>
      <c r="G119" s="52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4"/>
      <c r="BA119" s="31"/>
      <c r="BB119" s="31"/>
    </row>
    <row r="120" spans="2:54" s="32" customFormat="1" ht="30" customHeight="1" x14ac:dyDescent="0.35">
      <c r="B120" s="40" t="s">
        <v>936</v>
      </c>
      <c r="C120" s="49" t="str">
        <f>VLOOKUP($B120,SAMC!$A:$F,2,0)</f>
        <v>IN-5250-23-014 - Novo Laboratório de Integridade da IE - Elétrica</v>
      </c>
      <c r="D120" s="51" t="str">
        <f>VLOOKUP($B120,SAMC!$A:$F,5,0)</f>
        <v>Aguardando Aprovação</v>
      </c>
      <c r="E120" s="51" t="str">
        <f>VLOOKUP($B120,SAMC!$A:$F,6,0)</f>
        <v>Aguardando Aprovação</v>
      </c>
      <c r="F120" s="52"/>
      <c r="G120" s="52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4"/>
      <c r="BA120" s="31"/>
      <c r="BB120" s="31"/>
    </row>
    <row r="121" spans="2:54" s="32" customFormat="1" ht="30" customHeight="1" x14ac:dyDescent="0.35">
      <c r="B121" s="40" t="s">
        <v>934</v>
      </c>
      <c r="C121" s="49" t="str">
        <f>VLOOKUP($B121,SAMC!$A:$F,2,0)</f>
        <v>IN-5250-23-014 - Novo Laboratório de Integridade da IE - Civil - Hidrossanitário</v>
      </c>
      <c r="D121" s="51" t="str">
        <f>VLOOKUP($B121,SAMC!$A:$F,5,0)</f>
        <v>Aguardando Planejamento</v>
      </c>
      <c r="E121" s="51" t="str">
        <f>VLOOKUP($B121,SAMC!$A:$F,6,0)</f>
        <v>Aguardando classif contabil</v>
      </c>
      <c r="F121" s="52"/>
      <c r="G121" s="52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4"/>
      <c r="BA121" s="31"/>
      <c r="BB121" s="31"/>
    </row>
    <row r="122" spans="2:54" s="32" customFormat="1" ht="30" customHeight="1" x14ac:dyDescent="0.35">
      <c r="B122" s="40" t="s">
        <v>932</v>
      </c>
      <c r="C122" s="49" t="str">
        <f>VLOOKUP($B122,SAMC!$A:$F,2,0)</f>
        <v>IN-5250-23-014 - Novo Laboratório de Integridade da IE - Civil - HVAC</v>
      </c>
      <c r="D122" s="51" t="str">
        <f>VLOOKUP($B122,SAMC!$A:$F,5,0)</f>
        <v>Aguardando Planejamento</v>
      </c>
      <c r="E122" s="51" t="str">
        <f>VLOOKUP($B122,SAMC!$A:$F,6,0)</f>
        <v>Aguardando Planejamento</v>
      </c>
      <c r="F122" s="52"/>
      <c r="G122" s="52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4"/>
      <c r="BA122" s="31"/>
      <c r="BB122" s="31"/>
    </row>
    <row r="123" spans="2:54" s="32" customFormat="1" ht="30" customHeight="1" x14ac:dyDescent="0.35">
      <c r="B123" s="40" t="s">
        <v>930</v>
      </c>
      <c r="C123" s="49" t="str">
        <f>VLOOKUP($B123,SAMC!$A:$F,2,0)</f>
        <v>IN-5250-23-014 - Novo Laboratório de Integridade da IE -Arquitetura e SPCI</v>
      </c>
      <c r="D123" s="51" t="str">
        <f>VLOOKUP($B123,SAMC!$A:$F,5,0)</f>
        <v>Aguardando Planejamento</v>
      </c>
      <c r="E123" s="51" t="str">
        <f>VLOOKUP($B123,SAMC!$A:$F,6,0)</f>
        <v>Aguardando classif contabil</v>
      </c>
      <c r="F123" s="52"/>
      <c r="G123" s="52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4"/>
      <c r="BA123" s="31"/>
      <c r="BB123" s="31"/>
    </row>
    <row r="124" spans="2:54" s="32" customFormat="1" ht="30" customHeight="1" x14ac:dyDescent="0.35">
      <c r="B124" s="40" t="s">
        <v>928</v>
      </c>
      <c r="C124" s="49" t="str">
        <f>VLOOKUP($B124,SAMC!$A:$F,2,0)</f>
        <v>GPI / CASA NOVÍSSIMA - ESCADAS DE MARINHEIRO E GUARDA CORPOS</v>
      </c>
      <c r="D124" s="51" t="str">
        <f>VLOOKUP($B124,SAMC!$A:$F,5,0)</f>
        <v>Aguardando Aprovação</v>
      </c>
      <c r="E124" s="51" t="str">
        <f>VLOOKUP($B124,SAMC!$A:$F,6,0)</f>
        <v>Aguardando Aprovação</v>
      </c>
      <c r="F124" s="52"/>
      <c r="G124" s="52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4"/>
      <c r="BA124" s="31"/>
      <c r="BB124" s="31"/>
    </row>
    <row r="125" spans="2:54" s="32" customFormat="1" ht="30" customHeight="1" x14ac:dyDescent="0.35">
      <c r="B125" s="40" t="s">
        <v>926</v>
      </c>
      <c r="C125" s="49" t="str">
        <f>VLOOKUP($B125,SAMC!$A:$F,2,0)</f>
        <v>DRENAGEM - ESCADA ADUTORA UFV</v>
      </c>
      <c r="D125" s="51" t="str">
        <f>VLOOKUP($B125,SAMC!$A:$F,5,0)</f>
        <v>Aguardando Planejamento</v>
      </c>
      <c r="E125" s="51" t="str">
        <f>VLOOKUP($B125,SAMC!$A:$F,6,0)</f>
        <v>Aguardando classif contabil</v>
      </c>
      <c r="F125" s="52"/>
      <c r="G125" s="52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4"/>
      <c r="BA125" s="31"/>
      <c r="BB125" s="31"/>
    </row>
    <row r="126" spans="2:54" s="32" customFormat="1" ht="30" customHeight="1" x14ac:dyDescent="0.35">
      <c r="B126" s="40" t="s">
        <v>924</v>
      </c>
      <c r="C126" s="49" t="str">
        <f>VLOOKUP($B126,SAMC!$A:$F,2,0)</f>
        <v>OFICINA ED - BASE MANDRILHADORA</v>
      </c>
      <c r="D126" s="51" t="str">
        <f>VLOOKUP($B126,SAMC!$A:$F,5,0)</f>
        <v>Aguardando Planejamento</v>
      </c>
      <c r="E126" s="51" t="str">
        <f>VLOOKUP($B126,SAMC!$A:$F,6,0)</f>
        <v>Aguardando classif contabil</v>
      </c>
      <c r="F126" s="52"/>
      <c r="G126" s="52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4"/>
      <c r="BA126" s="31"/>
      <c r="BB126" s="31"/>
    </row>
    <row r="127" spans="2:54" s="32" customFormat="1" ht="30" customHeight="1" x14ac:dyDescent="0.35">
      <c r="B127" s="40" t="s">
        <v>922</v>
      </c>
      <c r="C127" s="49" t="str">
        <f>VLOOKUP($B127,SAMC!$A:$F,2,0)</f>
        <v>IN-5250-17-007 - 103-TG-01 - FABRICAÇÃO SUPORTE SISTEMA DE PURGA</v>
      </c>
      <c r="D127" s="51" t="str">
        <f>VLOOKUP($B127,SAMC!$A:$F,5,0)</f>
        <v>Aguardando Aprovação</v>
      </c>
      <c r="E127" s="51" t="str">
        <f>VLOOKUP($B127,SAMC!$A:$F,6,0)</f>
        <v>Aguardando Aprovação</v>
      </c>
      <c r="F127" s="52"/>
      <c r="G127" s="52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4"/>
      <c r="BA127" s="31"/>
      <c r="BB127" s="31"/>
    </row>
    <row r="128" spans="2:54" s="32" customFormat="1" ht="30" customHeight="1" x14ac:dyDescent="0.35">
      <c r="B128" s="40" t="s">
        <v>920</v>
      </c>
      <c r="C128" s="49" t="str">
        <f>VLOOKUP($B128,SAMC!$A:$F,2,0)</f>
        <v>IN-5250-24-027 - Ampliação da CIC - Nova Sala de Operação CIC - Investigação Underground</v>
      </c>
      <c r="D128" s="51" t="str">
        <f>VLOOKUP($B128,SAMC!$A:$F,5,0)</f>
        <v>Encaminhado p/ o fornecedor</v>
      </c>
      <c r="E128" s="51" t="str">
        <f>VLOOKUP($B128,SAMC!$A:$F,6,0)</f>
        <v>Encaminhado p/ o fornecedor</v>
      </c>
      <c r="F128" s="52"/>
      <c r="G128" s="52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4"/>
      <c r="BA128" s="31"/>
      <c r="BB128" s="31"/>
    </row>
    <row r="129" spans="2:54" s="32" customFormat="1" ht="30" customHeight="1" x14ac:dyDescent="0.35">
      <c r="B129" s="40" t="s">
        <v>916</v>
      </c>
      <c r="C129" s="49" t="str">
        <f>VLOOKUP($B129,SAMC!$A:$F,2,0)</f>
        <v>IN-5250-24-027 - Ampliação da CIC - Nova Sala de Operação CIC - Civil e Fundações</v>
      </c>
      <c r="D129" s="51" t="str">
        <f>VLOOKUP($B129,SAMC!$A:$F,5,0)</f>
        <v>Encaminhado p/ o fornecedor</v>
      </c>
      <c r="E129" s="51" t="str">
        <f>VLOOKUP($B129,SAMC!$A:$F,6,0)</f>
        <v>Encaminhado p/ o fornecedor</v>
      </c>
      <c r="F129" s="52"/>
      <c r="G129" s="52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4"/>
      <c r="BA129" s="31"/>
      <c r="BB129" s="31"/>
    </row>
    <row r="130" spans="2:54" s="32" customFormat="1" ht="30" customHeight="1" x14ac:dyDescent="0.35">
      <c r="B130" s="40" t="s">
        <v>914</v>
      </c>
      <c r="C130" s="49" t="str">
        <f>VLOOKUP($B130,SAMC!$A:$F,2,0)</f>
        <v>IN-5250-24-027 - Ampliação da CIC - Setor Norte - Investigação Underground</v>
      </c>
      <c r="D130" s="51" t="str">
        <f>VLOOKUP($B130,SAMC!$A:$F,5,0)</f>
        <v>Encaminhado p/ o fornecedor</v>
      </c>
      <c r="E130" s="51" t="str">
        <f>VLOOKUP($B130,SAMC!$A:$F,6,0)</f>
        <v>Encaminhado p/ o fornecedor</v>
      </c>
      <c r="F130" s="52"/>
      <c r="G130" s="52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4"/>
      <c r="BA130" s="31"/>
      <c r="BB130" s="31"/>
    </row>
    <row r="131" spans="2:54" s="32" customFormat="1" ht="30" customHeight="1" x14ac:dyDescent="0.35">
      <c r="B131" s="40" t="s">
        <v>912</v>
      </c>
      <c r="C131" s="49" t="str">
        <f>VLOOKUP($B131,SAMC!$A:$F,2,0)</f>
        <v>IN-5250-24-027 - Ampliação da CIC - Setor Norte - Civil e Fundações</v>
      </c>
      <c r="D131" s="51" t="str">
        <f>VLOOKUP($B131,SAMC!$A:$F,5,0)</f>
        <v>Encaminhado p/ o fornecedor</v>
      </c>
      <c r="E131" s="51" t="str">
        <f>VLOOKUP($B131,SAMC!$A:$F,6,0)</f>
        <v>Encaminhado p/ o fornecedor</v>
      </c>
      <c r="F131" s="52"/>
      <c r="G131" s="52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4"/>
      <c r="BA131" s="31"/>
      <c r="BB131" s="31"/>
    </row>
    <row r="132" spans="2:54" s="32" customFormat="1" ht="30" customHeight="1" x14ac:dyDescent="0.35">
      <c r="B132" s="40" t="s">
        <v>910</v>
      </c>
      <c r="C132" s="49" t="str">
        <f>VLOOKUP($B132,SAMC!$A:$F,2,0)</f>
        <v>IN-5250-24-027 - Ampliação da CIC - Setor Norte - Civil Arquitetura</v>
      </c>
      <c r="D132" s="51" t="str">
        <f>VLOOKUP($B132,SAMC!$A:$F,5,0)</f>
        <v>Aguardando Planejamento</v>
      </c>
      <c r="E132" s="51" t="str">
        <f>VLOOKUP($B132,SAMC!$A:$F,6,0)</f>
        <v>Aguardando classif contabil</v>
      </c>
      <c r="F132" s="52"/>
      <c r="G132" s="52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4"/>
      <c r="BA132" s="31"/>
      <c r="BB132" s="31"/>
    </row>
    <row r="133" spans="2:54" s="32" customFormat="1" ht="30" customHeight="1" x14ac:dyDescent="0.35">
      <c r="B133" s="40" t="s">
        <v>908</v>
      </c>
      <c r="C133" s="49" t="str">
        <f>VLOOKUP($B133,SAMC!$A:$F,2,0)</f>
        <v>IN-5250-24-027 - Ampliação da CIC - Reforma Prédio Existente - Civil</v>
      </c>
      <c r="D133" s="51" t="str">
        <f>VLOOKUP($B133,SAMC!$A:$F,5,0)</f>
        <v>Aguardando Aprovação</v>
      </c>
      <c r="E133" s="51" t="str">
        <f>VLOOKUP($B133,SAMC!$A:$F,6,0)</f>
        <v>Aguardando Aprovação</v>
      </c>
      <c r="F133" s="52"/>
      <c r="G133" s="52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4"/>
      <c r="BA133" s="31"/>
      <c r="BB133" s="31"/>
    </row>
    <row r="134" spans="2:54" s="32" customFormat="1" ht="30" customHeight="1" x14ac:dyDescent="0.35">
      <c r="B134" s="40" t="s">
        <v>906</v>
      </c>
      <c r="C134" s="49" t="str">
        <f>VLOOKUP($B134,SAMC!$A:$F,2,0)</f>
        <v>IN-5250-24-027 - Ampliação da CIC - Reforma Prédio Existente - Arquitetura</v>
      </c>
      <c r="D134" s="51" t="str">
        <f>VLOOKUP($B134,SAMC!$A:$F,5,0)</f>
        <v>Aguardando Aprovação</v>
      </c>
      <c r="E134" s="51" t="str">
        <f>VLOOKUP($B134,SAMC!$A:$F,6,0)</f>
        <v>Aguardando Aprovação</v>
      </c>
      <c r="F134" s="52"/>
      <c r="G134" s="52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4"/>
      <c r="BA134" s="31"/>
      <c r="BB134" s="31"/>
    </row>
    <row r="135" spans="2:54" s="32" customFormat="1" ht="30" customHeight="1" x14ac:dyDescent="0.35">
      <c r="B135" s="40" t="s">
        <v>904</v>
      </c>
      <c r="C135" s="49" t="str">
        <f>VLOOKUP($B135,SAMC!$A:$F,2,0)</f>
        <v>Infraestrutura e Gestão - Parcela Fixa de Gestão - Junho/2026</v>
      </c>
      <c r="D135" s="51" t="str">
        <f>VLOOKUP($B135,SAMC!$A:$F,5,0)</f>
        <v>Em Andamento</v>
      </c>
      <c r="E135" s="51" t="str">
        <f>VLOOKUP($B135,SAMC!$A:$F,6,0)</f>
        <v>Em Andamento</v>
      </c>
      <c r="F135" s="52"/>
      <c r="G135" s="52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4"/>
      <c r="BA135" s="31"/>
      <c r="BB135" s="31"/>
    </row>
    <row r="136" spans="2:54" s="32" customFormat="1" ht="30" customHeight="1" x14ac:dyDescent="0.35">
      <c r="B136" s="40" t="s">
        <v>902</v>
      </c>
      <c r="C136" s="49" t="str">
        <f>VLOOKUP($B136,SAMC!$A:$F,2,0)</f>
        <v>Manutenção Civil - Rotina - Junho/2026</v>
      </c>
      <c r="D136" s="51" t="str">
        <f>VLOOKUP($B136,SAMC!$A:$F,5,0)</f>
        <v>Em Revisão</v>
      </c>
      <c r="E136" s="51" t="str">
        <f>VLOOKUP($B136,SAMC!$A:$F,6,0)</f>
        <v>Em Revisão</v>
      </c>
      <c r="F136" s="52"/>
      <c r="G136" s="52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4"/>
      <c r="BA136" s="31"/>
      <c r="BB136" s="31"/>
    </row>
    <row r="137" spans="2:54" s="32" customFormat="1" ht="30" customHeight="1" x14ac:dyDescent="0.35">
      <c r="B137" s="40" t="s">
        <v>899</v>
      </c>
      <c r="C137" s="49" t="str">
        <f>VLOOKUP($B137,SAMC!$A:$F,2,0)</f>
        <v>Serviço de Apoio - Movimentação de Carga e Disponibilização de Equipamento - Junho/2026</v>
      </c>
      <c r="D137" s="51" t="str">
        <f>VLOOKUP($B137,SAMC!$A:$F,5,0)</f>
        <v>Reprovado pelo responsável</v>
      </c>
      <c r="E137" s="51" t="str">
        <f>VLOOKUP($B137,SAMC!$A:$F,6,0)</f>
        <v>Em Andamento</v>
      </c>
      <c r="F137" s="52"/>
      <c r="G137" s="52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4"/>
      <c r="BA137" s="31"/>
      <c r="BB137" s="31"/>
    </row>
    <row r="138" spans="2:54" s="32" customFormat="1" ht="30" customHeight="1" x14ac:dyDescent="0.35">
      <c r="B138" s="40" t="s">
        <v>897</v>
      </c>
      <c r="C138" s="49" t="str">
        <f>VLOOKUP($B138,SAMC!$A:$F,2,0)</f>
        <v>Apoio de HS - Mecânica - Junho/2026</v>
      </c>
      <c r="D138" s="51" t="str">
        <f>VLOOKUP($B138,SAMC!$A:$F,5,0)</f>
        <v>Em Andamento</v>
      </c>
      <c r="E138" s="51" t="str">
        <f>VLOOKUP($B138,SAMC!$A:$F,6,0)</f>
        <v>Em Andamento</v>
      </c>
      <c r="F138" s="52"/>
      <c r="G138" s="52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4"/>
      <c r="BA138" s="31"/>
      <c r="BB138" s="31"/>
    </row>
    <row r="139" spans="2:54" s="32" customFormat="1" ht="30" customHeight="1" x14ac:dyDescent="0.35">
      <c r="B139" s="40" t="s">
        <v>895</v>
      </c>
      <c r="C139" s="49" t="str">
        <f>VLOOKUP($B139,SAMC!$A:$F,2,0)</f>
        <v>Apoio de HS - Andaime - Junho/2026</v>
      </c>
      <c r="D139" s="51" t="str">
        <f>VLOOKUP($B139,SAMC!$A:$F,5,0)</f>
        <v>Em Andamento</v>
      </c>
      <c r="E139" s="51" t="str">
        <f>VLOOKUP($B139,SAMC!$A:$F,6,0)</f>
        <v>Em Andamento</v>
      </c>
      <c r="F139" s="52"/>
      <c r="G139" s="52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4"/>
      <c r="BA139" s="31"/>
      <c r="BB139" s="31"/>
    </row>
    <row r="140" spans="2:54" s="32" customFormat="1" ht="30" customHeight="1" x14ac:dyDescent="0.35">
      <c r="B140" s="40" t="s">
        <v>893</v>
      </c>
      <c r="C140" s="49" t="str">
        <f>VLOOKUP($B140,SAMC!$A:$F,2,0)</f>
        <v>Apoio de HS - Elétrica/Instrumentação - Junho/2026</v>
      </c>
      <c r="D140" s="51" t="str">
        <f>VLOOKUP($B140,SAMC!$A:$F,5,0)</f>
        <v>Em Andamento</v>
      </c>
      <c r="E140" s="51" t="str">
        <f>VLOOKUP($B140,SAMC!$A:$F,6,0)</f>
        <v>Em Andamento</v>
      </c>
      <c r="F140" s="52"/>
      <c r="G140" s="52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4"/>
      <c r="BA140" s="31"/>
      <c r="BB140" s="31"/>
    </row>
    <row r="141" spans="2:54" s="32" customFormat="1" ht="30" customHeight="1" x14ac:dyDescent="0.35">
      <c r="B141" s="40" t="s">
        <v>891</v>
      </c>
      <c r="C141" s="49" t="str">
        <f>VLOOKUP($B141,SAMC!$A:$F,2,0)</f>
        <v>Apoio de HS - Civil - Junho/2026</v>
      </c>
      <c r="D141" s="51" t="str">
        <f>VLOOKUP($B141,SAMC!$A:$F,5,0)</f>
        <v>Em Andamento</v>
      </c>
      <c r="E141" s="51" t="str">
        <f>VLOOKUP($B141,SAMC!$A:$F,6,0)</f>
        <v>Em Andamento</v>
      </c>
      <c r="F141" s="52"/>
      <c r="G141" s="52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4"/>
      <c r="BA141" s="31"/>
      <c r="BB141" s="31"/>
    </row>
    <row r="142" spans="2:54" s="32" customFormat="1" ht="30" customHeight="1" x14ac:dyDescent="0.35">
      <c r="B142" s="40" t="s">
        <v>889</v>
      </c>
      <c r="C142" s="49" t="str">
        <f>VLOOKUP($B142,SAMC!$A:$F,2,0)</f>
        <v>Apoio para PROJ - Empreendimento - Junho/2026</v>
      </c>
      <c r="D142" s="51" t="str">
        <f>VLOOKUP($B142,SAMC!$A:$F,5,0)</f>
        <v>Em Andamento</v>
      </c>
      <c r="E142" s="51" t="str">
        <f>VLOOKUP($B142,SAMC!$A:$F,6,0)</f>
        <v>Em Andamento</v>
      </c>
      <c r="F142" s="52"/>
      <c r="G142" s="52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4"/>
      <c r="BA142" s="31"/>
      <c r="BB142" s="31"/>
    </row>
    <row r="143" spans="2:54" s="32" customFormat="1" ht="30" customHeight="1" x14ac:dyDescent="0.35">
      <c r="B143" s="40" t="s">
        <v>887</v>
      </c>
      <c r="C143" s="49" t="str">
        <f>VLOOKUP($B143,SAMC!$A:$F,2,0)</f>
        <v>Apoio para PROJ - As Built - Junho/2026</v>
      </c>
      <c r="D143" s="51" t="str">
        <f>VLOOKUP($B143,SAMC!$A:$F,5,0)</f>
        <v>Em Andamento</v>
      </c>
      <c r="E143" s="51" t="str">
        <f>VLOOKUP($B143,SAMC!$A:$F,6,0)</f>
        <v>Em Andamento</v>
      </c>
      <c r="F143" s="52"/>
      <c r="G143" s="52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4"/>
      <c r="BA143" s="31"/>
      <c r="BB143" s="31"/>
    </row>
    <row r="144" spans="2:54" s="32" customFormat="1" ht="30" customHeight="1" x14ac:dyDescent="0.35">
      <c r="B144" s="40" t="s">
        <v>885</v>
      </c>
      <c r="C144" s="49" t="str">
        <f>VLOOKUP($B144,SAMC!$A:$F,2,0)</f>
        <v>Monitoramento das Barragens - Junho/2026</v>
      </c>
      <c r="D144" s="51" t="str">
        <f>VLOOKUP($B144,SAMC!$A:$F,5,0)</f>
        <v>Encaminhado p/ o fornecedor</v>
      </c>
      <c r="E144" s="51" t="str">
        <f>VLOOKUP($B144,SAMC!$A:$F,6,0)</f>
        <v>Encaminhado p/ o fornecedor</v>
      </c>
      <c r="F144" s="52"/>
      <c r="G144" s="52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4"/>
      <c r="BA144" s="31"/>
      <c r="BB144" s="31"/>
    </row>
    <row r="145" spans="2:54" s="32" customFormat="1" ht="30" customHeight="1" x14ac:dyDescent="0.35">
      <c r="B145" s="40" t="s">
        <v>881</v>
      </c>
      <c r="C145" s="49" t="str">
        <f>VLOOKUP($B145,SAMC!$A:$F,2,0)</f>
        <v>Rede Envelopada - Armazéns S5 x S6 - Bens</v>
      </c>
      <c r="D145" s="51" t="str">
        <f>VLOOKUP($B145,SAMC!$A:$F,5,0)</f>
        <v>Aguardando Aprovação</v>
      </c>
      <c r="E145" s="51" t="str">
        <f>VLOOKUP($B145,SAMC!$A:$F,6,0)</f>
        <v>Aguardando Aprovação</v>
      </c>
      <c r="F145" s="52"/>
      <c r="G145" s="52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4"/>
      <c r="BA145" s="31"/>
      <c r="BB145" s="31"/>
    </row>
    <row r="146" spans="2:54" s="32" customFormat="1" ht="30" customHeight="1" x14ac:dyDescent="0.35">
      <c r="B146" s="40" t="s">
        <v>879</v>
      </c>
      <c r="C146" s="49" t="str">
        <f>VLOOKUP($B146,SAMC!$A:$F,2,0)</f>
        <v>REFORMA PRÉDIO DO IE - CILVIL E ARQUITETURA</v>
      </c>
      <c r="D146" s="51" t="str">
        <f>VLOOKUP($B146,SAMC!$A:$F,5,0)</f>
        <v>Aguardando Planejamento</v>
      </c>
      <c r="E146" s="51" t="str">
        <f>VLOOKUP($B146,SAMC!$A:$F,6,0)</f>
        <v>Aguardando classif contabil</v>
      </c>
      <c r="F146" s="52"/>
      <c r="G146" s="52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4"/>
      <c r="BA146" s="31"/>
      <c r="BB146" s="31"/>
    </row>
    <row r="147" spans="2:54" s="32" customFormat="1" ht="30" customHeight="1" x14ac:dyDescent="0.35">
      <c r="B147" s="40" t="s">
        <v>877</v>
      </c>
      <c r="C147" s="49" t="str">
        <f>VLOOKUP($B147,SAMC!$A:$F,2,0)</f>
        <v>REFORMA PRÉDIO DO IE - ELÉTRICA, ILUMINAÇÃO E TOMADAS</v>
      </c>
      <c r="D147" s="51" t="str">
        <f>VLOOKUP($B147,SAMC!$A:$F,5,0)</f>
        <v>Aguardando Planejamento</v>
      </c>
      <c r="E147" s="51" t="str">
        <f>VLOOKUP($B147,SAMC!$A:$F,6,0)</f>
        <v>Aguardando classif contabil</v>
      </c>
      <c r="F147" s="52"/>
      <c r="G147" s="52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4"/>
      <c r="BA147" s="31"/>
      <c r="BB147" s="31"/>
    </row>
    <row r="148" spans="2:54" s="32" customFormat="1" ht="30" customHeight="1" x14ac:dyDescent="0.35">
      <c r="B148" s="40" t="s">
        <v>875</v>
      </c>
      <c r="C148" s="49" t="str">
        <f>VLOOKUP($B148,SAMC!$A:$F,2,0)</f>
        <v>SIT EBD - PRÉ FUROS - FUNDAÇÃO DO PIPE-RAK</v>
      </c>
      <c r="D148" s="51" t="str">
        <f>VLOOKUP($B148,SAMC!$A:$F,5,0)</f>
        <v>Em Andamento</v>
      </c>
      <c r="E148" s="51" t="str">
        <f>VLOOKUP($B148,SAMC!$A:$F,6,0)</f>
        <v>Em Andamento</v>
      </c>
      <c r="F148" s="52"/>
      <c r="G148" s="52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4"/>
      <c r="BA148" s="31"/>
      <c r="BB148" s="31"/>
    </row>
    <row r="149" spans="2:54" s="32" customFormat="1" ht="30" customHeight="1" x14ac:dyDescent="0.35">
      <c r="B149" s="40" t="s">
        <v>873</v>
      </c>
      <c r="C149" s="49" t="str">
        <f>VLOOKUP($B149,SAMC!$A:$F,2,0)</f>
        <v>Rede Sanitária Galpão S2</v>
      </c>
      <c r="D149" s="51" t="str">
        <f>VLOOKUP($B149,SAMC!$A:$F,5,0)</f>
        <v>Aguardando Planejamento</v>
      </c>
      <c r="E149" s="51" t="str">
        <f>VLOOKUP($B149,SAMC!$A:$F,6,0)</f>
        <v>Aguardando classif contabil</v>
      </c>
      <c r="F149" s="52"/>
      <c r="G149" s="52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4"/>
      <c r="BA149" s="31"/>
      <c r="BB149" s="31"/>
    </row>
    <row r="150" spans="2:54" s="32" customFormat="1" ht="30" customHeight="1" x14ac:dyDescent="0.35">
      <c r="B150" s="40" t="s">
        <v>871</v>
      </c>
      <c r="C150" s="49" t="str">
        <f>VLOOKUP($B150,SAMC!$A:$F,2,0)</f>
        <v>IN-5250-16-012 - Modernização da Ponte Rolante do Coque - Civil</v>
      </c>
      <c r="D150" s="51" t="str">
        <f>VLOOKUP($B150,SAMC!$A:$F,5,0)</f>
        <v>Aguardando Aprovação</v>
      </c>
      <c r="E150" s="51" t="str">
        <f>VLOOKUP($B150,SAMC!$A:$F,6,0)</f>
        <v>Aguardando Aprovação</v>
      </c>
      <c r="F150" s="52"/>
      <c r="G150" s="52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4"/>
      <c r="BA150" s="31"/>
      <c r="BB150" s="31"/>
    </row>
    <row r="151" spans="2:54" s="32" customFormat="1" ht="30" customHeight="1" x14ac:dyDescent="0.35">
      <c r="B151" s="40" t="s">
        <v>869</v>
      </c>
      <c r="C151" s="49" t="str">
        <f>VLOOKUP($B151,SAMC!$A:$F,2,0)</f>
        <v>IN-5250-16-012 - Modernização da Ponte Rolante do Coque - Elétrica</v>
      </c>
      <c r="D151" s="51" t="str">
        <f>VLOOKUP($B151,SAMC!$A:$F,5,0)</f>
        <v>Aguardando Aprovação</v>
      </c>
      <c r="E151" s="51" t="str">
        <f>VLOOKUP($B151,SAMC!$A:$F,6,0)</f>
        <v>Aguardando Aprovação</v>
      </c>
      <c r="F151" s="52"/>
      <c r="G151" s="52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4"/>
      <c r="BA151" s="31"/>
      <c r="BB151" s="31"/>
    </row>
    <row r="152" spans="2:54" s="32" customFormat="1" ht="30" customHeight="1" x14ac:dyDescent="0.35">
      <c r="B152" s="40" t="s">
        <v>867</v>
      </c>
      <c r="C152" s="49" t="str">
        <f>VLOOKUP($B152,SAMC!$A:$F,2,0)</f>
        <v>PMBC - REATIVAÇÃO DE BANHEIRO SANITÁRIO - 6° ANDAR REATORES 52-R-01 ABCD - ELABORAÇÃO DE PROJETOS</v>
      </c>
      <c r="D152" s="51" t="str">
        <f>VLOOKUP($B152,SAMC!$A:$F,5,0)</f>
        <v>Aguardando Planejamento</v>
      </c>
      <c r="E152" s="51" t="str">
        <f>VLOOKUP($B152,SAMC!$A:$F,6,0)</f>
        <v>Aguardando classif contabil</v>
      </c>
      <c r="F152" s="52"/>
      <c r="G152" s="52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4"/>
      <c r="BA152" s="31"/>
      <c r="BB152" s="31"/>
    </row>
    <row r="153" spans="2:54" s="32" customFormat="1" ht="30" customHeight="1" x14ac:dyDescent="0.35">
      <c r="B153" s="40" t="s">
        <v>865</v>
      </c>
      <c r="C153" s="49" t="str">
        <f>VLOOKUP($B153,SAMC!$A:$F,2,0)</f>
        <v>PMBC - REATIVAÇÃO DE BANHEIRO SANITÁRIO - 6° ANDAR REATORES 52-R-01 ABCD - CIVIL</v>
      </c>
      <c r="D153" s="51" t="str">
        <f>VLOOKUP($B153,SAMC!$A:$F,5,0)</f>
        <v>Aguardando Planejamento</v>
      </c>
      <c r="E153" s="51" t="str">
        <f>VLOOKUP($B153,SAMC!$A:$F,6,0)</f>
        <v>Aguardando classif contabil</v>
      </c>
      <c r="F153" s="52"/>
      <c r="G153" s="52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4"/>
      <c r="BA153" s="31"/>
      <c r="BB153" s="31"/>
    </row>
    <row r="154" spans="2:54" s="32" customFormat="1" ht="30" customHeight="1" x14ac:dyDescent="0.35">
      <c r="B154" s="40" t="s">
        <v>863</v>
      </c>
      <c r="C154" s="49" t="str">
        <f>VLOOKUP($B154,SAMC!$A:$F,2,0)</f>
        <v>U-623 - RELOCAÇÃO INFRAESTRUTURA ELÉTRICA - ELÉTRICA</v>
      </c>
      <c r="D154" s="51" t="str">
        <f>VLOOKUP($B154,SAMC!$A:$F,5,0)</f>
        <v>Aguardando Planejamento</v>
      </c>
      <c r="E154" s="51" t="str">
        <f>VLOOKUP($B154,SAMC!$A:$F,6,0)</f>
        <v>Aguardando classif contabil</v>
      </c>
      <c r="F154" s="52"/>
      <c r="G154" s="52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4"/>
      <c r="BA154" s="31"/>
      <c r="BB154" s="31"/>
    </row>
    <row r="155" spans="2:54" s="32" customFormat="1" ht="30" customHeight="1" x14ac:dyDescent="0.35">
      <c r="B155" s="40" t="s">
        <v>861</v>
      </c>
      <c r="C155" s="49" t="str">
        <f>VLOOKUP($B155,SAMC!$A:$F,2,0)</f>
        <v>U-623 - RELOCAÇÃO INFRAESTRUTURA ELÉTRICA - CIVIL</v>
      </c>
      <c r="D155" s="51" t="str">
        <f>VLOOKUP($B155,SAMC!$A:$F,5,0)</f>
        <v>Aguardando Planejamento</v>
      </c>
      <c r="E155" s="51" t="str">
        <f>VLOOKUP($B155,SAMC!$A:$F,6,0)</f>
        <v>Aguardando classif contabil</v>
      </c>
      <c r="F155" s="52"/>
      <c r="G155" s="52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4"/>
      <c r="BA155" s="31"/>
      <c r="BB155" s="31"/>
    </row>
    <row r="156" spans="2:54" s="32" customFormat="1" ht="30" customHeight="1" x14ac:dyDescent="0.35">
      <c r="B156" s="40" t="s">
        <v>859</v>
      </c>
      <c r="C156" s="49" t="str">
        <f>VLOOKUP($B156,SAMC!$A:$F,2,0)</f>
        <v>PMBC - 27-TQ-01 E - ELABORAÇÃO PROJETOS LGE</v>
      </c>
      <c r="D156" s="51" t="str">
        <f>VLOOKUP($B156,SAMC!$A:$F,5,0)</f>
        <v>Reprovado pelo responsável</v>
      </c>
      <c r="E156" s="51" t="str">
        <f>VLOOKUP($B156,SAMC!$A:$F,6,0)</f>
        <v>Em Andamento</v>
      </c>
      <c r="F156" s="52"/>
      <c r="G156" s="52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4"/>
      <c r="BA156" s="31"/>
      <c r="BB156" s="31"/>
    </row>
    <row r="157" spans="2:54" s="32" customFormat="1" ht="30" customHeight="1" x14ac:dyDescent="0.35">
      <c r="B157" s="40" t="s">
        <v>857</v>
      </c>
      <c r="C157" s="49" t="str">
        <f>VLOOKUP($B157,SAMC!$A:$F,2,0)</f>
        <v>DRENAGEM - ESCADA ADUTORA UFV - BENS</v>
      </c>
      <c r="D157" s="51" t="str">
        <f>VLOOKUP($B157,SAMC!$A:$F,5,0)</f>
        <v>Aguardando Aprovação</v>
      </c>
      <c r="E157" s="51" t="str">
        <f>VLOOKUP($B157,SAMC!$A:$F,6,0)</f>
        <v>Aguardando Aprovação</v>
      </c>
      <c r="F157" s="52"/>
      <c r="G157" s="52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4"/>
      <c r="BA157" s="31"/>
      <c r="BB157" s="31"/>
    </row>
    <row r="158" spans="2:54" s="32" customFormat="1" ht="30" customHeight="1" x14ac:dyDescent="0.35">
      <c r="B158" s="40" t="s">
        <v>855</v>
      </c>
      <c r="C158" s="49" t="str">
        <f>VLOOKUP($B158,SAMC!$A:$F,2,0)</f>
        <v>IN-5250-24-013 - SDCD - CCF I - MONTAGEM DOS RACKS DE SERVIDORES NO CIC</v>
      </c>
      <c r="D158" s="51" t="str">
        <f>VLOOKUP($B158,SAMC!$A:$F,5,0)</f>
        <v>Aguardando Aprovação</v>
      </c>
      <c r="E158" s="51" t="str">
        <f>VLOOKUP($B158,SAMC!$A:$F,6,0)</f>
        <v>Aguardando Aprovação</v>
      </c>
      <c r="F158" s="52"/>
      <c r="G158" s="52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4"/>
      <c r="BA158" s="31"/>
      <c r="BB158" s="31"/>
    </row>
    <row r="159" spans="2:54" s="32" customFormat="1" ht="30" customHeight="1" x14ac:dyDescent="0.35">
      <c r="B159" s="40" t="s">
        <v>853</v>
      </c>
      <c r="C159" s="49" t="str">
        <f>VLOOKUP($B159,SAMC!$A:$F,2,0)</f>
        <v>SIT EBD - PRÉ FUROS - FUNDAÇÃO DO CABLE-RACK</v>
      </c>
      <c r="D159" s="51" t="str">
        <f>VLOOKUP($B159,SAMC!$A:$F,5,0)</f>
        <v>Aguardando Planejamento</v>
      </c>
      <c r="E159" s="51" t="str">
        <f>VLOOKUP($B159,SAMC!$A:$F,6,0)</f>
        <v>Aguardando classif contabil</v>
      </c>
      <c r="F159" s="52"/>
      <c r="G159" s="52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4"/>
      <c r="BA159" s="31"/>
      <c r="BB159" s="31"/>
    </row>
    <row r="160" spans="2:54" s="32" customFormat="1" ht="30" customHeight="1" x14ac:dyDescent="0.35">
      <c r="B160" s="40" t="s">
        <v>851</v>
      </c>
      <c r="C160" s="49" t="str">
        <f>VLOOKUP($B160,SAMC!$A:$F,2,0)</f>
        <v>SIT EBD - PRÉ FUROS - PLATAFORMAS PERMUTADORES</v>
      </c>
      <c r="D160" s="51" t="str">
        <f>VLOOKUP($B160,SAMC!$A:$F,5,0)</f>
        <v>Em Andamento</v>
      </c>
      <c r="E160" s="51" t="str">
        <f>VLOOKUP($B160,SAMC!$A:$F,6,0)</f>
        <v>Em Andamento</v>
      </c>
      <c r="F160" s="52"/>
      <c r="G160" s="52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4"/>
      <c r="BA160" s="31"/>
      <c r="BB160" s="31"/>
    </row>
    <row r="161" spans="2:54" s="32" customFormat="1" ht="30" customHeight="1" x14ac:dyDescent="0.35">
      <c r="B161" s="40" t="s">
        <v>849</v>
      </c>
      <c r="C161" s="49" t="str">
        <f>VLOOKUP($B161,SAMC!$A:$F,2,0)</f>
        <v>IN-5250-24-012 - SDCD - UDAV II - MONTAGEM DOS RACKS DE SERVIDORES NO CIC</v>
      </c>
      <c r="D161" s="51" t="str">
        <f>VLOOKUP($B161,SAMC!$A:$F,5,0)</f>
        <v>Aguardando Aprovação</v>
      </c>
      <c r="E161" s="51" t="str">
        <f>VLOOKUP($B161,SAMC!$A:$F,6,0)</f>
        <v>Aguardando Aprovação</v>
      </c>
      <c r="F161" s="52"/>
      <c r="G161" s="52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4"/>
      <c r="BA161" s="31"/>
      <c r="BB161" s="31"/>
    </row>
    <row r="162" spans="2:54" s="32" customFormat="1" ht="30" customHeight="1" x14ac:dyDescent="0.35">
      <c r="B162" s="40" t="s">
        <v>847</v>
      </c>
      <c r="C162" s="49" t="str">
        <f>VLOOKUP($B162,SAMC!$A:$F,2,0)</f>
        <v>CALDEIRAS 0121-F-001 ABC - FUNDAÇÃO PARA GUINDASTE</v>
      </c>
      <c r="D162" s="51" t="str">
        <f>VLOOKUP($B162,SAMC!$A:$F,5,0)</f>
        <v>Aguardando Aprovação</v>
      </c>
      <c r="E162" s="51" t="str">
        <f>VLOOKUP($B162,SAMC!$A:$F,6,0)</f>
        <v>Aguardando Aprovação</v>
      </c>
      <c r="F162" s="52"/>
      <c r="G162" s="52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4"/>
      <c r="BA162" s="31"/>
      <c r="BB162" s="31"/>
    </row>
    <row r="163" spans="2:54" s="32" customFormat="1" ht="30" customHeight="1" x14ac:dyDescent="0.35">
      <c r="B163" s="40" t="s">
        <v>845</v>
      </c>
      <c r="C163" s="49" t="str">
        <f>VLOOKUP($B163,SAMC!$A:$F,2,0)</f>
        <v>IN-5250-25-005 - ETDI - BOMBAS DO PPI - PASSARELA - BENS</v>
      </c>
      <c r="D163" s="51" t="str">
        <f>VLOOKUP($B163,SAMC!$A:$F,5,0)</f>
        <v>Aguardando Planejamento</v>
      </c>
      <c r="E163" s="51" t="str">
        <f>VLOOKUP($B163,SAMC!$A:$F,6,0)</f>
        <v>Aguardando classif contabil</v>
      </c>
      <c r="F163" s="52"/>
      <c r="G163" s="52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4"/>
      <c r="BA163" s="31"/>
      <c r="BB163" s="31"/>
    </row>
    <row r="164" spans="2:54" s="32" customFormat="1" ht="30" customHeight="1" x14ac:dyDescent="0.35">
      <c r="B164" s="40" t="s">
        <v>843</v>
      </c>
      <c r="C164" s="49" t="str">
        <f>VLOOKUP($B164,SAMC!$A:$F,2,0)</f>
        <v>IN-5250-25-005 - ETDI - BOMBAS DO PPI - PASSARELA - MECÂNICA</v>
      </c>
      <c r="D164" s="51" t="str">
        <f>VLOOKUP($B164,SAMC!$A:$F,5,0)</f>
        <v>Aguardando Planejamento</v>
      </c>
      <c r="E164" s="51" t="str">
        <f>VLOOKUP($B164,SAMC!$A:$F,6,0)</f>
        <v>Aguardando classif contabil</v>
      </c>
      <c r="F164" s="52"/>
      <c r="G164" s="52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4"/>
      <c r="BA164" s="31"/>
      <c r="BB164" s="31"/>
    </row>
    <row r="165" spans="2:54" s="32" customFormat="1" ht="30" customHeight="1" x14ac:dyDescent="0.35">
      <c r="B165" s="40" t="s">
        <v>841</v>
      </c>
      <c r="C165" s="49" t="str">
        <f>VLOOKUP($B165,SAMC!$A:$F,2,0)</f>
        <v>IN-5250-19-003 - Modernização dos Painéis de Distribuição PT-121 - Civil</v>
      </c>
      <c r="D165" s="51" t="str">
        <f>VLOOKUP($B165,SAMC!$A:$F,5,0)</f>
        <v>Aguardando Planejamento</v>
      </c>
      <c r="E165" s="51" t="str">
        <f>VLOOKUP($B165,SAMC!$A:$F,6,0)</f>
        <v>Aguardando classif contabil</v>
      </c>
      <c r="F165" s="52"/>
      <c r="G165" s="52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4"/>
      <c r="BA165" s="31"/>
      <c r="BB165" s="31"/>
    </row>
    <row r="166" spans="2:54" s="32" customFormat="1" ht="30" customHeight="1" x14ac:dyDescent="0.35">
      <c r="B166" s="40" t="s">
        <v>839</v>
      </c>
      <c r="C166" s="49" t="str">
        <f>VLOOKUP($B166,SAMC!$A:$F,2,0)</f>
        <v>IN-5250-19-003 - Modernização dos Painéis de Distribuição PT-121 A - Civil</v>
      </c>
      <c r="D166" s="51" t="str">
        <f>VLOOKUP($B166,SAMC!$A:$F,5,0)</f>
        <v>Aguardando Planejamento</v>
      </c>
      <c r="E166" s="51" t="str">
        <f>VLOOKUP($B166,SAMC!$A:$F,6,0)</f>
        <v>Aguardando classif contabil</v>
      </c>
      <c r="F166" s="52"/>
      <c r="G166" s="52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4"/>
      <c r="BA166" s="31"/>
      <c r="BB166" s="31"/>
    </row>
    <row r="167" spans="2:54" s="32" customFormat="1" ht="30" customHeight="1" x14ac:dyDescent="0.35">
      <c r="B167" s="40" t="s">
        <v>837</v>
      </c>
      <c r="C167" s="49" t="str">
        <f>VLOOKUP($B167,SAMC!$A:$F,2,0)</f>
        <v>IN-5250-19-003 - Modernização dos Painéis de Distribuição PT-121 A - Estrutura Metálica</v>
      </c>
      <c r="D167" s="51" t="str">
        <f>VLOOKUP($B167,SAMC!$A:$F,5,0)</f>
        <v>Aguardando Planejamento</v>
      </c>
      <c r="E167" s="51" t="str">
        <f>VLOOKUP($B167,SAMC!$A:$F,6,0)</f>
        <v>Aguardando classif contabil</v>
      </c>
      <c r="F167" s="52"/>
      <c r="G167" s="52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4"/>
      <c r="BA167" s="31"/>
      <c r="BB167" s="31"/>
    </row>
    <row r="168" spans="2:54" s="32" customFormat="1" ht="30" customHeight="1" x14ac:dyDescent="0.35">
      <c r="B168" s="40" t="s">
        <v>835</v>
      </c>
      <c r="C168" s="49" t="str">
        <f>VLOOKUP($B168,SAMC!$A:$F,2,0)</f>
        <v>IN-5250-23-019 - Levantamento Topográfico Plataformas U-101</v>
      </c>
      <c r="D168" s="51" t="str">
        <f>VLOOKUP($B168,SAMC!$A:$F,5,0)</f>
        <v>Em Andamento</v>
      </c>
      <c r="E168" s="51" t="str">
        <f>VLOOKUP($B168,SAMC!$A:$F,6,0)</f>
        <v>Em Andamento</v>
      </c>
      <c r="F168" s="52"/>
      <c r="G168" s="52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4"/>
      <c r="BA168" s="31"/>
      <c r="BB168" s="31"/>
    </row>
    <row r="169" spans="2:54" s="32" customFormat="1" ht="30" customHeight="1" x14ac:dyDescent="0.35">
      <c r="B169" s="40" t="s">
        <v>833</v>
      </c>
      <c r="C169" s="49" t="str">
        <f>VLOOKUP($B169,SAMC!$A:$F,2,0)</f>
        <v>Apoio - RO Administrativo</v>
      </c>
      <c r="D169" s="51" t="str">
        <f>VLOOKUP($B169,SAMC!$A:$F,5,0)</f>
        <v>Aguardando Aprovação</v>
      </c>
      <c r="E169" s="51" t="str">
        <f>VLOOKUP($B169,SAMC!$A:$F,6,0)</f>
        <v>Aguardando Aprovação</v>
      </c>
      <c r="F169" s="52"/>
      <c r="G169" s="52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4"/>
      <c r="BA169" s="31"/>
      <c r="BB169" s="31"/>
    </row>
    <row r="170" spans="2:54" s="32" customFormat="1" ht="30" customHeight="1" x14ac:dyDescent="0.35">
      <c r="B170" s="40" t="s">
        <v>831</v>
      </c>
      <c r="C170" s="49" t="str">
        <f>VLOOKUP($B170,SAMC!$A:$F,2,0)</f>
        <v>Apoio ao PM - Pipe Shop das Contratadas - Elaboração de Projetos</v>
      </c>
      <c r="D170" s="51" t="str">
        <f>VLOOKUP($B170,SAMC!$A:$F,5,0)</f>
        <v>Aguardando Aprovação</v>
      </c>
      <c r="E170" s="51" t="str">
        <f>VLOOKUP($B170,SAMC!$A:$F,6,0)</f>
        <v>Aguardando Aprovação</v>
      </c>
      <c r="F170" s="52"/>
      <c r="G170" s="52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4"/>
      <c r="BA170" s="31"/>
      <c r="BB170" s="31"/>
    </row>
    <row r="171" spans="2:54" s="32" customFormat="1" ht="30" customHeight="1" x14ac:dyDescent="0.35">
      <c r="B171" s="40" t="s">
        <v>829</v>
      </c>
      <c r="C171" s="49" t="str">
        <f>VLOOKUP($B171,SAMC!$A:$F,2,0)</f>
        <v>Apoio ao PM - Pipe Shop das Contratadas - Civil e Arquitetura</v>
      </c>
      <c r="D171" s="51" t="str">
        <f>VLOOKUP($B171,SAMC!$A:$F,5,0)</f>
        <v>Aguardando Planejamento</v>
      </c>
      <c r="E171" s="51" t="str">
        <f>VLOOKUP($B171,SAMC!$A:$F,6,0)</f>
        <v>Aguardando Planejamento</v>
      </c>
      <c r="F171" s="52"/>
      <c r="G171" s="52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4"/>
      <c r="BA171" s="31"/>
      <c r="BB171" s="31"/>
    </row>
    <row r="172" spans="2:54" s="32" customFormat="1" ht="30" customHeight="1" x14ac:dyDescent="0.35">
      <c r="B172" s="40" t="s">
        <v>827</v>
      </c>
      <c r="C172" s="49" t="str">
        <f>VLOOKUP($B172,SAMC!$A:$F,2,0)</f>
        <v>Apoio ao PM - Pipe Shop das Contratadas - Elétrica</v>
      </c>
      <c r="D172" s="51" t="str">
        <f>VLOOKUP($B172,SAMC!$A:$F,5,0)</f>
        <v>Aguardando Planejamento</v>
      </c>
      <c r="E172" s="51" t="str">
        <f>VLOOKUP($B172,SAMC!$A:$F,6,0)</f>
        <v>Aguardando Planejamento</v>
      </c>
      <c r="F172" s="52"/>
      <c r="G172" s="52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4"/>
      <c r="BA172" s="31"/>
      <c r="BB172" s="31"/>
    </row>
    <row r="173" spans="2:54" s="32" customFormat="1" ht="30" customHeight="1" x14ac:dyDescent="0.35">
      <c r="B173" s="40" t="s">
        <v>825</v>
      </c>
      <c r="C173" s="49" t="str">
        <f>VLOOKUP($B173,SAMC!$A:$F,2,0)</f>
        <v>Apoio ao PM - Pátio de Hidrojato - Elaboração de Projetos</v>
      </c>
      <c r="D173" s="51" t="str">
        <f>VLOOKUP($B173,SAMC!$A:$F,5,0)</f>
        <v>Aguardando Aprovação</v>
      </c>
      <c r="E173" s="51" t="str">
        <f>VLOOKUP($B173,SAMC!$A:$F,6,0)</f>
        <v>Aguardando Aprovação</v>
      </c>
      <c r="F173" s="52"/>
      <c r="G173" s="52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4"/>
      <c r="BA173" s="31"/>
      <c r="BB173" s="31"/>
    </row>
    <row r="174" spans="2:54" s="32" customFormat="1" ht="30" customHeight="1" x14ac:dyDescent="0.35">
      <c r="B174" s="40" t="s">
        <v>823</v>
      </c>
      <c r="C174" s="49" t="str">
        <f>VLOOKUP($B174,SAMC!$A:$F,2,0)</f>
        <v>Apoio ao PM - Pátio de Hidrojato - Elétrica</v>
      </c>
      <c r="D174" s="51" t="str">
        <f>VLOOKUP($B174,SAMC!$A:$F,5,0)</f>
        <v>Aguardando Planejamento</v>
      </c>
      <c r="E174" s="51" t="str">
        <f>VLOOKUP($B174,SAMC!$A:$F,6,0)</f>
        <v>Aguardando Planejamento</v>
      </c>
      <c r="F174" s="52"/>
      <c r="G174" s="52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4"/>
      <c r="BA174" s="31"/>
      <c r="BB174" s="31"/>
    </row>
    <row r="175" spans="2:54" s="32" customFormat="1" ht="30" customHeight="1" x14ac:dyDescent="0.35">
      <c r="B175" s="40" t="s">
        <v>821</v>
      </c>
      <c r="C175" s="49" t="str">
        <f>VLOOKUP($B175,SAMC!$A:$F,2,0)</f>
        <v>IN-5250-20-001 - ETDI - FABRICAÇÃO SUPORTES FoFo</v>
      </c>
      <c r="D175" s="51" t="str">
        <f>VLOOKUP($B175,SAMC!$A:$F,5,0)</f>
        <v>Encaminhado p/ o fornecedor</v>
      </c>
      <c r="E175" s="51" t="str">
        <f>VLOOKUP($B175,SAMC!$A:$F,6,0)</f>
        <v>Encaminhado p/ o fornecedor</v>
      </c>
      <c r="F175" s="52"/>
      <c r="G175" s="52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4"/>
      <c r="BA175" s="31"/>
      <c r="BB175" s="31"/>
    </row>
    <row r="176" spans="2:54" s="32" customFormat="1" ht="30" customHeight="1" x14ac:dyDescent="0.35">
      <c r="B176" s="40" t="s">
        <v>819</v>
      </c>
      <c r="C176" s="49" t="str">
        <f>VLOOKUP($B176,SAMC!$A:$F,2,0)</f>
        <v>5250-25-016 - Nova URO - Unid. de Recuperação de Óleo - Sondagem e Topografia</v>
      </c>
      <c r="D176" s="51" t="str">
        <f>VLOOKUP($B176,SAMC!$A:$F,5,0)</f>
        <v>Aguardando Planejamento</v>
      </c>
      <c r="E176" s="51" t="str">
        <f>VLOOKUP($B176,SAMC!$A:$F,6,0)</f>
        <v>Aguardando classif contabil</v>
      </c>
      <c r="F176" s="52"/>
      <c r="G176" s="52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4"/>
      <c r="BA176" s="31"/>
      <c r="BB176" s="31"/>
    </row>
    <row r="177" spans="2:54" s="32" customFormat="1" ht="30" customHeight="1" x14ac:dyDescent="0.35">
      <c r="B177" s="40" t="s">
        <v>817</v>
      </c>
      <c r="C177" s="49" t="str">
        <f>VLOOKUP($B177,SAMC!$A:$F,2,0)</f>
        <v>ELABORAÇÃO DE PROJETO - CLASSIFICAÇÃO DE ÁREA</v>
      </c>
      <c r="D177" s="51" t="str">
        <f>VLOOKUP($B177,SAMC!$A:$F,5,0)</f>
        <v>Aguardando Planejamento</v>
      </c>
      <c r="E177" s="51" t="str">
        <f>VLOOKUP($B177,SAMC!$A:$F,6,0)</f>
        <v>Aguardando classif contabil</v>
      </c>
      <c r="F177" s="52"/>
      <c r="G177" s="52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4"/>
      <c r="BA177" s="31"/>
      <c r="BB177" s="31"/>
    </row>
    <row r="178" spans="2:54" s="32" customFormat="1" ht="30" customHeight="1" x14ac:dyDescent="0.35">
      <c r="B178" s="40" t="s">
        <v>815</v>
      </c>
      <c r="C178" s="49" t="str">
        <f>VLOOKUP($B178,SAMC!$A:$F,2,0)</f>
        <v>Topografia - Córrego Ibirité - FEMA/LOC B. Ibirité</v>
      </c>
      <c r="D178" s="51" t="str">
        <f>VLOOKUP($B178,SAMC!$A:$F,5,0)</f>
        <v>Aguardando Aprovação</v>
      </c>
      <c r="E178" s="51" t="str">
        <f>VLOOKUP($B178,SAMC!$A:$F,6,0)</f>
        <v>Aguardando Aprovação</v>
      </c>
      <c r="F178" s="52"/>
      <c r="G178" s="52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4"/>
      <c r="BA178" s="31"/>
      <c r="BB178" s="31"/>
    </row>
    <row r="179" spans="2:54" s="32" customFormat="1" ht="30" customHeight="1" x14ac:dyDescent="0.35">
      <c r="B179" s="40" t="s">
        <v>813</v>
      </c>
      <c r="C179" s="49" t="str">
        <f>VLOOKUP($B179,SAMC!$A:$F,2,0)</f>
        <v>PMBC MIGRAÇÃO DAS BOMBAS DA U-0047 PARA O SDCD - CIVIL</v>
      </c>
      <c r="D179" s="51" t="str">
        <f>VLOOKUP($B179,SAMC!$A:$F,5,0)</f>
        <v>Aguardando Planejamento</v>
      </c>
      <c r="E179" s="51" t="str">
        <f>VLOOKUP($B179,SAMC!$A:$F,6,0)</f>
        <v>Aguardando classif contabil</v>
      </c>
      <c r="F179" s="52"/>
      <c r="G179" s="52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4"/>
      <c r="BA179" s="31"/>
      <c r="BB179" s="31"/>
    </row>
    <row r="180" spans="2:54" s="32" customFormat="1" ht="30" customHeight="1" x14ac:dyDescent="0.35">
      <c r="B180" s="40" t="s">
        <v>811</v>
      </c>
      <c r="C180" s="49" t="str">
        <f>VLOOKUP($B180,SAMC!$A:$F,2,0)</f>
        <v>ESTUDO TÉCNICO ABASTECIMENTO DE ÁGUA</v>
      </c>
      <c r="D180" s="51" t="str">
        <f>VLOOKUP($B180,SAMC!$A:$F,5,0)</f>
        <v>Aguardando Planejamento</v>
      </c>
      <c r="E180" s="51" t="str">
        <f>VLOOKUP($B180,SAMC!$A:$F,6,0)</f>
        <v>Aguardando Planejamento</v>
      </c>
      <c r="F180" s="52"/>
      <c r="G180" s="52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4"/>
      <c r="BA180" s="31"/>
      <c r="BB180" s="31"/>
    </row>
    <row r="181" spans="2:54" s="32" customFormat="1" ht="30" customHeight="1" x14ac:dyDescent="0.35">
      <c r="B181" s="40" t="s">
        <v>809</v>
      </c>
      <c r="C181" s="49" t="str">
        <f>VLOOKUP($B181,SAMC!$A:$F,2,0)</f>
        <v>IN-5250-24-085 - Phase-Out do Diesel S500 - Mudança 1 - Aquisição de Bens</v>
      </c>
      <c r="D181" s="51" t="str">
        <f>VLOOKUP($B181,SAMC!$A:$F,5,0)</f>
        <v>Aguardando Planejamento</v>
      </c>
      <c r="E181" s="51" t="str">
        <f>VLOOKUP($B181,SAMC!$A:$F,6,0)</f>
        <v>Aguardando Planejamento</v>
      </c>
      <c r="F181" s="52"/>
      <c r="G181" s="52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4"/>
      <c r="BA181" s="31"/>
      <c r="BB181" s="31"/>
    </row>
    <row r="182" spans="2:54" s="32" customFormat="1" ht="30" customHeight="1" x14ac:dyDescent="0.35">
      <c r="B182" s="40" t="s">
        <v>807</v>
      </c>
      <c r="C182" s="49" t="str">
        <f>VLOOKUP($B182,SAMC!$A:$F,2,0)</f>
        <v>IN-5250-24-085 - Phase-Out do Diesel S500 - Mudança 1 - Fabricação</v>
      </c>
      <c r="D182" s="51" t="str">
        <f>VLOOKUP($B182,SAMC!$A:$F,5,0)</f>
        <v>Aguardando Planejamento</v>
      </c>
      <c r="E182" s="51" t="str">
        <f>VLOOKUP($B182,SAMC!$A:$F,6,0)</f>
        <v>Aguardando Planejamento</v>
      </c>
      <c r="F182" s="52"/>
      <c r="G182" s="52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4"/>
      <c r="BA182" s="31"/>
      <c r="BB182" s="31"/>
    </row>
    <row r="183" spans="2:54" s="32" customFormat="1" ht="30" customHeight="1" x14ac:dyDescent="0.35">
      <c r="B183" s="40" t="s">
        <v>805</v>
      </c>
      <c r="C183" s="49" t="str">
        <f>VLOOKUP($B183,SAMC!$A:$F,2,0)</f>
        <v>IN-5250-24-085 - Phase-Out do Diesel S500 - Mudança 1 - Montagem</v>
      </c>
      <c r="D183" s="51" t="str">
        <f>VLOOKUP($B183,SAMC!$A:$F,5,0)</f>
        <v>Aguardando Planejamento</v>
      </c>
      <c r="E183" s="51" t="str">
        <f>VLOOKUP($B183,SAMC!$A:$F,6,0)</f>
        <v>Aguardando Planejamento</v>
      </c>
      <c r="F183" s="52"/>
      <c r="G183" s="52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4"/>
      <c r="BA183" s="31"/>
      <c r="BB183" s="31"/>
    </row>
    <row r="184" spans="2:54" s="32" customFormat="1" ht="30" customHeight="1" x14ac:dyDescent="0.35">
      <c r="B184" s="40" t="s">
        <v>803</v>
      </c>
      <c r="C184" s="49" t="str">
        <f>VLOOKUP($B184,SAMC!$A:$F,2,0)</f>
        <v>IN-5250-24-085 - Phase-Out do Diesel S500 - Mudança 2.2 - Aquisição de Bens (Bacia de Tanques)</v>
      </c>
      <c r="D184" s="51" t="str">
        <f>VLOOKUP($B184,SAMC!$A:$F,5,0)</f>
        <v>Aguardando Planejamento</v>
      </c>
      <c r="E184" s="51" t="str">
        <f>VLOOKUP($B184,SAMC!$A:$F,6,0)</f>
        <v>Aguardando classif contabil</v>
      </c>
      <c r="F184" s="52"/>
      <c r="G184" s="52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4"/>
      <c r="BA184" s="31"/>
      <c r="BB184" s="31"/>
    </row>
    <row r="185" spans="2:54" s="32" customFormat="1" ht="30" customHeight="1" x14ac:dyDescent="0.35">
      <c r="B185" s="40" t="s">
        <v>801</v>
      </c>
      <c r="C185" s="49" t="str">
        <f>VLOOKUP($B185,SAMC!$A:$F,2,0)</f>
        <v>IN-5250-24-085 - Phase-Out do Diesel S500 - Mudança 2.2 - Fabricação (Bacia de Tanques)</v>
      </c>
      <c r="D185" s="51" t="str">
        <f>VLOOKUP($B185,SAMC!$A:$F,5,0)</f>
        <v>Aguardando Planejamento</v>
      </c>
      <c r="E185" s="51" t="str">
        <f>VLOOKUP($B185,SAMC!$A:$F,6,0)</f>
        <v>Aguardando classif contabil</v>
      </c>
      <c r="F185" s="52"/>
      <c r="G185" s="52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4"/>
      <c r="BA185" s="31"/>
      <c r="BB185" s="31"/>
    </row>
    <row r="186" spans="2:54" s="32" customFormat="1" ht="30" customHeight="1" x14ac:dyDescent="0.35">
      <c r="B186" s="40" t="s">
        <v>799</v>
      </c>
      <c r="C186" s="49" t="str">
        <f>VLOOKUP($B186,SAMC!$A:$F,2,0)</f>
        <v>IN-5250-24-085 - Phase-Out do Diesel S500 - Mudança 2.2 - Montagem (Bacia de Tanques)</v>
      </c>
      <c r="D186" s="51" t="str">
        <f>VLOOKUP($B186,SAMC!$A:$F,5,0)</f>
        <v>Aguardando Planejamento</v>
      </c>
      <c r="E186" s="51" t="str">
        <f>VLOOKUP($B186,SAMC!$A:$F,6,0)</f>
        <v>Aguardando classif contabil</v>
      </c>
      <c r="F186" s="52"/>
      <c r="G186" s="52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4"/>
      <c r="BA186" s="31"/>
      <c r="BB186" s="31"/>
    </row>
    <row r="187" spans="2:54" s="32" customFormat="1" ht="30" customHeight="1" x14ac:dyDescent="0.35">
      <c r="B187" s="40" t="s">
        <v>797</v>
      </c>
      <c r="C187" s="49" t="str">
        <f>VLOOKUP($B187,SAMC!$A:$F,2,0)</f>
        <v>IN-5250-24-085 - Phase-Out do Diesel S500 - Mudança 3 - Aquisição de Bens</v>
      </c>
      <c r="D187" s="51" t="str">
        <f>VLOOKUP($B187,SAMC!$A:$F,5,0)</f>
        <v>Aguardando Planejamento</v>
      </c>
      <c r="E187" s="51" t="str">
        <f>VLOOKUP($B187,SAMC!$A:$F,6,0)</f>
        <v>Aguardando classif contabil</v>
      </c>
      <c r="F187" s="52"/>
      <c r="G187" s="52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4"/>
      <c r="BA187" s="31"/>
      <c r="BB187" s="31"/>
    </row>
    <row r="188" spans="2:54" s="32" customFormat="1" ht="30" customHeight="1" x14ac:dyDescent="0.35">
      <c r="B188" s="40" t="s">
        <v>796</v>
      </c>
      <c r="C188" s="49" t="str">
        <f>VLOOKUP($B188,SAMC!$A:$F,2,0)</f>
        <v>IN-5250-24-085 - Phase-Out do Diesel S500 - Mudança 3 - Montagem</v>
      </c>
      <c r="D188" s="51" t="str">
        <f>VLOOKUP($B188,SAMC!$A:$F,5,0)</f>
        <v>Aguardando Planejamento</v>
      </c>
      <c r="E188" s="51" t="str">
        <f>VLOOKUP($B188,SAMC!$A:$F,6,0)</f>
        <v>Aguardando classif contabil</v>
      </c>
      <c r="F188" s="52"/>
      <c r="G188" s="52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4"/>
      <c r="BA188" s="31"/>
      <c r="BB188" s="31"/>
    </row>
    <row r="189" spans="2:54" s="32" customFormat="1" ht="30" customHeight="1" x14ac:dyDescent="0.35">
      <c r="B189" s="40" t="s">
        <v>794</v>
      </c>
      <c r="C189" s="49" t="str">
        <f>VLOOKUP($B189,SAMC!$A:$F,2,0)</f>
        <v>IN-5250-24-085 - Phase-Out do Diesel S500 - Mudança 3 - Montagem</v>
      </c>
      <c r="D189" s="51" t="str">
        <f>VLOOKUP($B189,SAMC!$A:$F,5,0)</f>
        <v>Aguardando Planejamento</v>
      </c>
      <c r="E189" s="51" t="str">
        <f>VLOOKUP($B189,SAMC!$A:$F,6,0)</f>
        <v>Aguardando classif contabil</v>
      </c>
      <c r="F189" s="52"/>
      <c r="G189" s="52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4"/>
      <c r="BA189" s="31"/>
      <c r="BB189" s="31"/>
    </row>
    <row r="190" spans="2:54" s="32" customFormat="1" ht="30" customHeight="1" x14ac:dyDescent="0.35">
      <c r="B190" s="40" t="s">
        <v>792</v>
      </c>
      <c r="C190" s="49" t="str">
        <f>VLOOKUP($B190,SAMC!$A:$F,2,0)</f>
        <v>IN-5250-24-085 - Phase-Out do Diesel S500 - Mudança 4.2 - Aquisição de Bens (Bacia de Tanques)</v>
      </c>
      <c r="D190" s="51" t="str">
        <f>VLOOKUP($B190,SAMC!$A:$F,5,0)</f>
        <v>Aguardando Planejamento</v>
      </c>
      <c r="E190" s="51" t="str">
        <f>VLOOKUP($B190,SAMC!$A:$F,6,0)</f>
        <v>Aguardando classif contabil</v>
      </c>
      <c r="F190" s="52"/>
      <c r="G190" s="52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4"/>
      <c r="BA190" s="31"/>
      <c r="BB190" s="31"/>
    </row>
    <row r="191" spans="2:54" s="32" customFormat="1" ht="30" customHeight="1" x14ac:dyDescent="0.35">
      <c r="B191" s="40" t="s">
        <v>790</v>
      </c>
      <c r="C191" s="49" t="str">
        <f>VLOOKUP($B191,SAMC!$A:$F,2,0)</f>
        <v>IN-5250-24-085 - Phase-Out do Diesel S500 - Mudança 4.2 - Fabricação (Bacia de Tanques)</v>
      </c>
      <c r="D191" s="51" t="str">
        <f>VLOOKUP($B191,SAMC!$A:$F,5,0)</f>
        <v>Aguardando Planejamento</v>
      </c>
      <c r="E191" s="51" t="str">
        <f>VLOOKUP($B191,SAMC!$A:$F,6,0)</f>
        <v>Aguardando classif contabil</v>
      </c>
      <c r="F191" s="52"/>
      <c r="G191" s="52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4"/>
      <c r="BA191" s="31"/>
      <c r="BB191" s="31"/>
    </row>
    <row r="192" spans="2:54" s="32" customFormat="1" ht="30" customHeight="1" x14ac:dyDescent="0.35">
      <c r="B192" s="40" t="s">
        <v>788</v>
      </c>
      <c r="C192" s="49" t="str">
        <f>VLOOKUP($B192,SAMC!$A:$F,2,0)</f>
        <v>IN-5250-24-085 - Phase-Out do Diesel S500 - Mudança 4.2 - Montagem (Bacia de Tanques)</v>
      </c>
      <c r="D192" s="51" t="str">
        <f>VLOOKUP($B192,SAMC!$A:$F,5,0)</f>
        <v>Aguardando Planejamento</v>
      </c>
      <c r="E192" s="51" t="str">
        <f>VLOOKUP($B192,SAMC!$A:$F,6,0)</f>
        <v>Aguardando classif contabil</v>
      </c>
      <c r="F192" s="52"/>
      <c r="G192" s="52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4"/>
      <c r="BA192" s="31"/>
      <c r="BB192" s="31"/>
    </row>
    <row r="193" spans="2:54" s="32" customFormat="1" ht="30" customHeight="1" x14ac:dyDescent="0.35">
      <c r="B193" s="40" t="s">
        <v>786</v>
      </c>
      <c r="C193" s="49" t="str">
        <f>VLOOKUP($B193,SAMC!$A:$F,2,0)</f>
        <v>IN-5250-24-085 - Phase-Out do Diesel S500 - Mudança 5 - Aquisição de Bens</v>
      </c>
      <c r="D193" s="51" t="str">
        <f>VLOOKUP($B193,SAMC!$A:$F,5,0)</f>
        <v>Aguardando Planejamento</v>
      </c>
      <c r="E193" s="51" t="str">
        <f>VLOOKUP($B193,SAMC!$A:$F,6,0)</f>
        <v>Aguardando classif contabil</v>
      </c>
      <c r="F193" s="52"/>
      <c r="G193" s="52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4"/>
      <c r="BA193" s="31"/>
      <c r="BB193" s="31"/>
    </row>
    <row r="194" spans="2:54" s="32" customFormat="1" ht="30" customHeight="1" x14ac:dyDescent="0.35">
      <c r="B194" s="40" t="s">
        <v>784</v>
      </c>
      <c r="C194" s="49" t="str">
        <f>VLOOKUP($B194,SAMC!$A:$F,2,0)</f>
        <v>IN-5250-24-085 - Phase-Out do Diesel S500 - Mudança 5 - Fabricação</v>
      </c>
      <c r="D194" s="51" t="str">
        <f>VLOOKUP($B194,SAMC!$A:$F,5,0)</f>
        <v>Aguardando Planejamento</v>
      </c>
      <c r="E194" s="51" t="str">
        <f>VLOOKUP($B194,SAMC!$A:$F,6,0)</f>
        <v>Aguardando Planejamento</v>
      </c>
      <c r="F194" s="52"/>
      <c r="G194" s="52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4"/>
      <c r="BA194" s="31"/>
      <c r="BB194" s="31"/>
    </row>
    <row r="195" spans="2:54" s="32" customFormat="1" ht="30" customHeight="1" x14ac:dyDescent="0.35">
      <c r="B195" s="40" t="s">
        <v>782</v>
      </c>
      <c r="C195" s="49" t="str">
        <f>VLOOKUP($B195,SAMC!$A:$F,2,0)</f>
        <v>IN-5250-24-085 - Phase-Out do Diesel S500 - Mudança 5 - Montagem</v>
      </c>
      <c r="D195" s="51" t="str">
        <f>VLOOKUP($B195,SAMC!$A:$F,5,0)</f>
        <v>Aguardando Planejamento</v>
      </c>
      <c r="E195" s="51" t="str">
        <f>VLOOKUP($B195,SAMC!$A:$F,6,0)</f>
        <v>Aguardando Planejamento</v>
      </c>
      <c r="F195" s="52"/>
      <c r="G195" s="52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4"/>
      <c r="BA195" s="31"/>
      <c r="BB195" s="31"/>
    </row>
    <row r="196" spans="2:54" s="32" customFormat="1" ht="30" customHeight="1" x14ac:dyDescent="0.35">
      <c r="B196" s="40" t="s">
        <v>780</v>
      </c>
      <c r="C196" s="49" t="str">
        <f>VLOOKUP($B196,SAMC!$A:$F,2,0)</f>
        <v>IN-5250-24-085 - Phase-Out do Diesel S500 - Elétria/Instrumentação/Automação - Fornecimento Materiais</v>
      </c>
      <c r="D196" s="51" t="str">
        <f>VLOOKUP($B196,SAMC!$A:$F,5,0)</f>
        <v>Aguardando Planejamento</v>
      </c>
      <c r="E196" s="51" t="str">
        <f>VLOOKUP($B196,SAMC!$A:$F,6,0)</f>
        <v>Aguardando Planejamento</v>
      </c>
      <c r="F196" s="52"/>
      <c r="G196" s="52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4"/>
      <c r="BA196" s="31"/>
      <c r="BB196" s="31"/>
    </row>
    <row r="197" spans="2:54" s="32" customFormat="1" ht="30" customHeight="1" x14ac:dyDescent="0.35">
      <c r="B197" s="40" t="s">
        <v>778</v>
      </c>
      <c r="C197" s="49" t="str">
        <f>VLOOKUP($B197,SAMC!$A:$F,2,0)</f>
        <v>IN-5250-24-085 - Phase-Out do Diesel S500 - Elétria/Instrumentação/Automação</v>
      </c>
      <c r="D197" s="51" t="str">
        <f>VLOOKUP($B197,SAMC!$A:$F,5,0)</f>
        <v>Aguardando Planejamento</v>
      </c>
      <c r="E197" s="51" t="str">
        <f>VLOOKUP($B197,SAMC!$A:$F,6,0)</f>
        <v>Aguardando Planejamento</v>
      </c>
      <c r="F197" s="52"/>
      <c r="G197" s="52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4"/>
      <c r="BA197" s="31"/>
      <c r="BB197" s="31"/>
    </row>
    <row r="198" spans="2:54" s="32" customFormat="1" ht="30" customHeight="1" x14ac:dyDescent="0.35">
      <c r="B198" s="40" t="s">
        <v>776</v>
      </c>
      <c r="C198" s="49" t="str">
        <f>VLOOKUP($B198,SAMC!$A:$F,2,0)</f>
        <v>IN-5250-23-021 - UFV - FORNECIMENTO MATERIAIS</v>
      </c>
      <c r="D198" s="51" t="str">
        <f>VLOOKUP($B198,SAMC!$A:$F,5,0)</f>
        <v>Aguardando Planejamento</v>
      </c>
      <c r="E198" s="51" t="str">
        <f>VLOOKUP($B198,SAMC!$A:$F,6,0)</f>
        <v>Aguardando Planejamento</v>
      </c>
      <c r="F198" s="52"/>
      <c r="G198" s="52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4"/>
      <c r="BA198" s="31"/>
      <c r="BB198" s="31"/>
    </row>
    <row r="199" spans="2:54" s="32" customFormat="1" ht="30" customHeight="1" x14ac:dyDescent="0.35">
      <c r="B199" s="40" t="s">
        <v>774</v>
      </c>
      <c r="C199" s="49" t="str">
        <f>VLOOKUP($B199,SAMC!$A:$F,2,0)</f>
        <v>MODELAGEM 3D - UN-121</v>
      </c>
      <c r="D199" s="51" t="str">
        <f>VLOOKUP($B199,SAMC!$A:$F,5,0)</f>
        <v>Aguardando Planejamento</v>
      </c>
      <c r="E199" s="51" t="str">
        <f>VLOOKUP($B199,SAMC!$A:$F,6,0)</f>
        <v>Aguardando classif contabil</v>
      </c>
      <c r="F199" s="52"/>
      <c r="G199" s="52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4"/>
      <c r="BA199" s="31"/>
      <c r="BB199" s="31"/>
    </row>
    <row r="200" spans="2:54" s="32" customFormat="1" ht="30" customHeight="1" x14ac:dyDescent="0.35">
      <c r="B200" s="40"/>
      <c r="C200" s="49"/>
      <c r="D200" s="51"/>
      <c r="E200" s="51"/>
      <c r="F200" s="52"/>
      <c r="G200" s="52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4"/>
      <c r="BA200" s="31"/>
      <c r="BB200" s="31"/>
    </row>
  </sheetData>
  <autoFilter ref="B4:BB104" xr:uid="{EDF34611-1709-4297-A359-0D1D15EB77BD}">
    <sortState xmlns:xlrd2="http://schemas.microsoft.com/office/spreadsheetml/2017/richdata2" ref="B5:BB90">
      <sortCondition ref="C4:C104"/>
    </sortState>
  </autoFilter>
  <mergeCells count="3">
    <mergeCell ref="B1:G1"/>
    <mergeCell ref="B2:B3"/>
    <mergeCell ref="C2:C3"/>
  </mergeCells>
  <conditionalFormatting sqref="E200">
    <cfRule type="cellIs" dxfId="29" priority="4" operator="equal">
      <formula>"EM REPLANEJAMENTO"</formula>
    </cfRule>
    <cfRule type="cellIs" dxfId="28" priority="10" operator="equal">
      <formula>"INICIO ATRASADO"</formula>
    </cfRule>
    <cfRule type="cellIs" dxfId="27" priority="11" operator="equal">
      <formula>"INICIO CURTO PRAZO"</formula>
    </cfRule>
    <cfRule type="cellIs" dxfId="26" priority="12" operator="equal">
      <formula>"INICIO MEDIO PRAZO"</formula>
    </cfRule>
    <cfRule type="cellIs" dxfId="25" priority="13" operator="equal">
      <formula>"EM ANDAMENTO"</formula>
    </cfRule>
    <cfRule type="cellIs" dxfId="24" priority="14" operator="equal">
      <formula>"STAND BY"</formula>
    </cfRule>
  </conditionalFormatting>
  <conditionalFormatting sqref="G5:G200">
    <cfRule type="cellIs" dxfId="23" priority="1" operator="lessThan">
      <formula>$BA$1</formula>
    </cfRule>
  </conditionalFormatting>
  <conditionalFormatting sqref="H64:H75 H77:AZ200">
    <cfRule type="cellIs" dxfId="22" priority="9" operator="greaterThan">
      <formula>0</formula>
    </cfRule>
  </conditionalFormatting>
  <conditionalFormatting sqref="H4:AZ4">
    <cfRule type="cellIs" dxfId="21" priority="58" operator="greaterThan">
      <formula>0</formula>
    </cfRule>
  </conditionalFormatting>
  <conditionalFormatting sqref="H5:AZ46 H48:AZ62 I64:AZ66">
    <cfRule type="expression" dxfId="20" priority="8">
      <formula>AND(H$3&gt;=$F5,H$3&lt;=$G5)</formula>
    </cfRule>
  </conditionalFormatting>
  <conditionalFormatting sqref="H47:AZ47">
    <cfRule type="cellIs" dxfId="19" priority="3" operator="greaterThan">
      <formula>0</formula>
    </cfRule>
  </conditionalFormatting>
  <conditionalFormatting sqref="H63:AZ63">
    <cfRule type="cellIs" dxfId="18" priority="17" operator="greaterThan">
      <formula>0</formula>
    </cfRule>
  </conditionalFormatting>
  <conditionalFormatting sqref="H67:AZ67">
    <cfRule type="cellIs" dxfId="17" priority="18" operator="greaterThan">
      <formula>0</formula>
    </cfRule>
  </conditionalFormatting>
  <conditionalFormatting sqref="H76:AZ76">
    <cfRule type="cellIs" dxfId="16" priority="23" operator="greaterThan">
      <formula>0</formula>
    </cfRule>
  </conditionalFormatting>
  <conditionalFormatting sqref="I68:AZ75">
    <cfRule type="cellIs" dxfId="15" priority="63" operator="greaterThan">
      <formula>0</formula>
    </cfRule>
  </conditionalFormatting>
  <printOptions horizontalCentered="1"/>
  <pageMargins left="3.937007874015748E-2" right="3.937007874015748E-2" top="0.15748031496062992" bottom="0.15748031496062992" header="0.31496062992125984" footer="0.31496062992125984"/>
  <pageSetup paperSize="8" scale="28" orientation="landscape" r:id="rId1"/>
  <headerFooter alignWithMargins="0">
    <oddFooter>&amp;L_x000D_&amp;1#&amp;"Trebuchet MS"&amp;9&amp;K008542 INTERNA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6317-B39A-4BB8-9E67-CF794164E56E}">
  <dimension ref="A1:F475"/>
  <sheetViews>
    <sheetView zoomScale="115" zoomScaleNormal="115" workbookViewId="0">
      <pane xSplit="2" ySplit="1" topLeftCell="C22" activePane="bottomRight" state="frozen"/>
      <selection pane="topRight" activeCell="C1" sqref="C1"/>
      <selection pane="bottomLeft" activeCell="A2" sqref="A2"/>
      <selection pane="bottomRight" activeCell="B33" sqref="B33"/>
    </sheetView>
  </sheetViews>
  <sheetFormatPr defaultRowHeight="14.5" x14ac:dyDescent="0.35"/>
  <cols>
    <col min="1" max="1" width="11.453125" customWidth="1"/>
    <col min="2" max="2" width="58.90625" customWidth="1"/>
    <col min="3" max="3" width="30.90625" customWidth="1"/>
    <col min="4" max="4" width="26.08984375" style="16" customWidth="1"/>
    <col min="5" max="5" width="24.6328125" style="16" customWidth="1"/>
    <col min="6" max="6" width="26.90625" style="16" customWidth="1"/>
  </cols>
  <sheetData>
    <row r="1" spans="1:6" x14ac:dyDescent="0.35">
      <c r="A1" s="115"/>
      <c r="B1" s="115"/>
      <c r="C1" s="115" t="s">
        <v>1088</v>
      </c>
      <c r="D1" s="116" t="s">
        <v>1089</v>
      </c>
      <c r="E1" s="116" t="s">
        <v>516</v>
      </c>
      <c r="F1" s="116" t="s">
        <v>518</v>
      </c>
    </row>
    <row r="2" spans="1:6" x14ac:dyDescent="0.35">
      <c r="A2" t="s">
        <v>114</v>
      </c>
      <c r="B2" t="s">
        <v>115</v>
      </c>
      <c r="C2" t="s">
        <v>21</v>
      </c>
      <c r="D2" s="16" t="s">
        <v>1097</v>
      </c>
      <c r="E2" s="16" t="s">
        <v>116</v>
      </c>
      <c r="F2" s="118" t="s">
        <v>116</v>
      </c>
    </row>
    <row r="3" spans="1:6" x14ac:dyDescent="0.35">
      <c r="A3" t="s">
        <v>117</v>
      </c>
      <c r="B3" t="s">
        <v>118</v>
      </c>
      <c r="C3" t="s">
        <v>12</v>
      </c>
      <c r="D3" s="16" t="s">
        <v>1098</v>
      </c>
      <c r="E3" s="16" t="s">
        <v>116</v>
      </c>
      <c r="F3" s="118" t="s">
        <v>116</v>
      </c>
    </row>
    <row r="4" spans="1:6" x14ac:dyDescent="0.35">
      <c r="A4" t="s">
        <v>119</v>
      </c>
      <c r="B4" t="s">
        <v>120</v>
      </c>
      <c r="C4" t="s">
        <v>12</v>
      </c>
      <c r="D4" s="16" t="s">
        <v>1093</v>
      </c>
      <c r="E4" s="16" t="s">
        <v>121</v>
      </c>
      <c r="F4" s="118" t="s">
        <v>121</v>
      </c>
    </row>
    <row r="5" spans="1:6" x14ac:dyDescent="0.35">
      <c r="A5" t="s">
        <v>122</v>
      </c>
      <c r="B5" t="s">
        <v>123</v>
      </c>
      <c r="C5" t="s">
        <v>12</v>
      </c>
      <c r="D5" s="16" t="s">
        <v>1098</v>
      </c>
      <c r="E5" s="16" t="s">
        <v>121</v>
      </c>
      <c r="F5" s="118" t="s">
        <v>121</v>
      </c>
    </row>
    <row r="6" spans="1:6" x14ac:dyDescent="0.35">
      <c r="A6" t="s">
        <v>124</v>
      </c>
      <c r="B6" t="s">
        <v>459</v>
      </c>
      <c r="C6" t="s">
        <v>4</v>
      </c>
      <c r="D6" s="16" t="s">
        <v>1092</v>
      </c>
      <c r="E6" s="16" t="s">
        <v>121</v>
      </c>
      <c r="F6" s="118" t="s">
        <v>121</v>
      </c>
    </row>
    <row r="7" spans="1:6" x14ac:dyDescent="0.35">
      <c r="A7" t="s">
        <v>125</v>
      </c>
      <c r="B7" t="s">
        <v>458</v>
      </c>
      <c r="C7" t="s">
        <v>4</v>
      </c>
      <c r="D7" s="16" t="s">
        <v>1092</v>
      </c>
      <c r="E7" s="16" t="s">
        <v>116</v>
      </c>
      <c r="F7" s="118" t="s">
        <v>116</v>
      </c>
    </row>
    <row r="8" spans="1:6" x14ac:dyDescent="0.35">
      <c r="A8" t="s">
        <v>126</v>
      </c>
      <c r="B8" t="s">
        <v>457</v>
      </c>
      <c r="C8" t="s">
        <v>4</v>
      </c>
      <c r="D8" s="16" t="s">
        <v>1092</v>
      </c>
      <c r="E8" s="16" t="s">
        <v>22</v>
      </c>
      <c r="F8" s="118" t="s">
        <v>116</v>
      </c>
    </row>
    <row r="9" spans="1:6" x14ac:dyDescent="0.35">
      <c r="A9" t="s">
        <v>127</v>
      </c>
      <c r="B9" t="s">
        <v>128</v>
      </c>
      <c r="C9" t="s">
        <v>8</v>
      </c>
      <c r="D9" s="16" t="s">
        <v>1090</v>
      </c>
      <c r="E9" s="16" t="s">
        <v>121</v>
      </c>
      <c r="F9" s="118" t="s">
        <v>121</v>
      </c>
    </row>
    <row r="10" spans="1:6" x14ac:dyDescent="0.35">
      <c r="A10" t="s">
        <v>56</v>
      </c>
      <c r="B10" t="s">
        <v>57</v>
      </c>
      <c r="C10" t="s">
        <v>8</v>
      </c>
      <c r="D10" s="16" t="s">
        <v>1090</v>
      </c>
      <c r="E10" s="16" t="s">
        <v>445</v>
      </c>
      <c r="F10" s="118" t="s">
        <v>116</v>
      </c>
    </row>
    <row r="11" spans="1:6" x14ac:dyDescent="0.35">
      <c r="A11" t="s">
        <v>129</v>
      </c>
      <c r="B11" t="s">
        <v>130</v>
      </c>
      <c r="C11" t="s">
        <v>12</v>
      </c>
      <c r="D11" s="16" t="s">
        <v>1093</v>
      </c>
      <c r="E11" s="16" t="s">
        <v>116</v>
      </c>
      <c r="F11" s="118" t="s">
        <v>116</v>
      </c>
    </row>
    <row r="12" spans="1:6" x14ac:dyDescent="0.35">
      <c r="A12" t="s">
        <v>131</v>
      </c>
      <c r="B12" t="s">
        <v>132</v>
      </c>
      <c r="C12" t="s">
        <v>12</v>
      </c>
      <c r="D12" s="16" t="s">
        <v>1098</v>
      </c>
      <c r="E12" s="16" t="s">
        <v>116</v>
      </c>
      <c r="F12" s="118" t="s">
        <v>116</v>
      </c>
    </row>
    <row r="13" spans="1:6" x14ac:dyDescent="0.35">
      <c r="A13" t="s">
        <v>133</v>
      </c>
      <c r="B13" t="s">
        <v>134</v>
      </c>
      <c r="C13" t="s">
        <v>21</v>
      </c>
      <c r="D13" s="16" t="s">
        <v>1097</v>
      </c>
      <c r="E13" s="16" t="s">
        <v>116</v>
      </c>
      <c r="F13" s="118" t="s">
        <v>116</v>
      </c>
    </row>
    <row r="14" spans="1:6" x14ac:dyDescent="0.35">
      <c r="A14" t="s">
        <v>135</v>
      </c>
      <c r="B14" t="s">
        <v>456</v>
      </c>
      <c r="C14" t="s">
        <v>4</v>
      </c>
      <c r="D14" s="16" t="s">
        <v>1092</v>
      </c>
      <c r="E14" s="16" t="s">
        <v>116</v>
      </c>
      <c r="F14" s="118" t="s">
        <v>116</v>
      </c>
    </row>
    <row r="15" spans="1:6" x14ac:dyDescent="0.35">
      <c r="A15" t="s">
        <v>136</v>
      </c>
      <c r="B15" t="s">
        <v>137</v>
      </c>
      <c r="C15" t="s">
        <v>21</v>
      </c>
      <c r="D15" s="16" t="s">
        <v>519</v>
      </c>
      <c r="E15" s="16" t="s">
        <v>116</v>
      </c>
      <c r="F15" s="118" t="s">
        <v>116</v>
      </c>
    </row>
    <row r="16" spans="1:6" x14ac:dyDescent="0.35">
      <c r="A16" t="s">
        <v>138</v>
      </c>
      <c r="B16" t="s">
        <v>455</v>
      </c>
      <c r="C16" t="s">
        <v>21</v>
      </c>
      <c r="D16" s="16" t="s">
        <v>519</v>
      </c>
      <c r="E16" s="16" t="s">
        <v>116</v>
      </c>
      <c r="F16" s="118" t="s">
        <v>116</v>
      </c>
    </row>
    <row r="17" spans="1:6" x14ac:dyDescent="0.35">
      <c r="A17" t="s">
        <v>139</v>
      </c>
      <c r="B17" t="s">
        <v>140</v>
      </c>
      <c r="C17" t="s">
        <v>21</v>
      </c>
      <c r="D17" s="16" t="s">
        <v>519</v>
      </c>
      <c r="E17" s="16" t="s">
        <v>116</v>
      </c>
      <c r="F17" s="118" t="s">
        <v>116</v>
      </c>
    </row>
    <row r="18" spans="1:6" x14ac:dyDescent="0.35">
      <c r="A18" t="s">
        <v>141</v>
      </c>
      <c r="B18" t="s">
        <v>142</v>
      </c>
      <c r="C18" t="s">
        <v>21</v>
      </c>
      <c r="D18" s="16" t="s">
        <v>519</v>
      </c>
      <c r="E18" s="16" t="s">
        <v>121</v>
      </c>
      <c r="F18" s="118" t="s">
        <v>121</v>
      </c>
    </row>
    <row r="19" spans="1:6" x14ac:dyDescent="0.35">
      <c r="A19" t="s">
        <v>143</v>
      </c>
      <c r="B19" t="s">
        <v>144</v>
      </c>
      <c r="C19" t="s">
        <v>4</v>
      </c>
      <c r="D19" s="16" t="s">
        <v>1092</v>
      </c>
      <c r="E19" s="16" t="s">
        <v>121</v>
      </c>
      <c r="F19" s="118" t="s">
        <v>121</v>
      </c>
    </row>
    <row r="20" spans="1:6" x14ac:dyDescent="0.35">
      <c r="A20" t="s">
        <v>145</v>
      </c>
      <c r="B20" t="s">
        <v>454</v>
      </c>
      <c r="C20" t="s">
        <v>8</v>
      </c>
      <c r="D20" s="16" t="s">
        <v>1090</v>
      </c>
      <c r="E20" s="16" t="s">
        <v>116</v>
      </c>
      <c r="F20" s="118" t="s">
        <v>116</v>
      </c>
    </row>
    <row r="21" spans="1:6" x14ac:dyDescent="0.35">
      <c r="A21" t="s">
        <v>146</v>
      </c>
      <c r="B21" t="s">
        <v>147</v>
      </c>
      <c r="C21" t="s">
        <v>4</v>
      </c>
      <c r="D21" s="16" t="s">
        <v>1092</v>
      </c>
      <c r="E21" s="16" t="s">
        <v>116</v>
      </c>
      <c r="F21" s="118" t="s">
        <v>116</v>
      </c>
    </row>
    <row r="22" spans="1:6" x14ac:dyDescent="0.35">
      <c r="A22" t="s">
        <v>54</v>
      </c>
      <c r="B22" t="s">
        <v>55</v>
      </c>
      <c r="C22" t="s">
        <v>8</v>
      </c>
      <c r="D22" s="16" t="s">
        <v>1090</v>
      </c>
      <c r="E22" s="16" t="s">
        <v>22</v>
      </c>
      <c r="F22" s="118" t="s">
        <v>116</v>
      </c>
    </row>
    <row r="23" spans="1:6" x14ac:dyDescent="0.35">
      <c r="A23" t="s">
        <v>148</v>
      </c>
      <c r="B23" t="s">
        <v>149</v>
      </c>
      <c r="C23" t="s">
        <v>4</v>
      </c>
      <c r="D23" s="16" t="s">
        <v>1092</v>
      </c>
      <c r="E23" s="16" t="s">
        <v>116</v>
      </c>
      <c r="F23" s="118" t="s">
        <v>116</v>
      </c>
    </row>
    <row r="24" spans="1:6" x14ac:dyDescent="0.35">
      <c r="A24" t="s">
        <v>150</v>
      </c>
      <c r="B24" t="s">
        <v>453</v>
      </c>
      <c r="C24" t="s">
        <v>4</v>
      </c>
      <c r="D24" s="16" t="s">
        <v>1092</v>
      </c>
      <c r="E24" s="16" t="s">
        <v>116</v>
      </c>
      <c r="F24" s="118" t="s">
        <v>116</v>
      </c>
    </row>
    <row r="25" spans="1:6" x14ac:dyDescent="0.35">
      <c r="A25" t="s">
        <v>151</v>
      </c>
      <c r="B25" t="s">
        <v>452</v>
      </c>
      <c r="C25" t="s">
        <v>8</v>
      </c>
      <c r="D25" s="16" t="s">
        <v>1090</v>
      </c>
      <c r="E25" s="16" t="s">
        <v>116</v>
      </c>
      <c r="F25" s="118" t="s">
        <v>116</v>
      </c>
    </row>
    <row r="26" spans="1:6" x14ac:dyDescent="0.35">
      <c r="A26" t="s">
        <v>152</v>
      </c>
      <c r="B26" t="s">
        <v>153</v>
      </c>
      <c r="C26" t="s">
        <v>8</v>
      </c>
      <c r="D26" s="16" t="s">
        <v>1090</v>
      </c>
      <c r="E26" s="16" t="s">
        <v>116</v>
      </c>
      <c r="F26" s="118" t="s">
        <v>116</v>
      </c>
    </row>
    <row r="27" spans="1:6" x14ac:dyDescent="0.35">
      <c r="A27" t="s">
        <v>154</v>
      </c>
      <c r="B27" t="s">
        <v>155</v>
      </c>
      <c r="C27" t="s">
        <v>8</v>
      </c>
      <c r="D27" s="16" t="s">
        <v>1090</v>
      </c>
      <c r="E27" s="16" t="s">
        <v>116</v>
      </c>
      <c r="F27" s="118" t="s">
        <v>116</v>
      </c>
    </row>
    <row r="28" spans="1:6" x14ac:dyDescent="0.35">
      <c r="A28" t="s">
        <v>53</v>
      </c>
      <c r="B28" t="s">
        <v>451</v>
      </c>
      <c r="C28" t="s">
        <v>8</v>
      </c>
      <c r="D28" s="16" t="s">
        <v>1090</v>
      </c>
      <c r="E28" s="16" t="s">
        <v>22</v>
      </c>
      <c r="F28" s="118" t="s">
        <v>116</v>
      </c>
    </row>
    <row r="29" spans="1:6" x14ac:dyDescent="0.35">
      <c r="A29" t="s">
        <v>156</v>
      </c>
      <c r="B29" t="s">
        <v>157</v>
      </c>
      <c r="C29" t="s">
        <v>8</v>
      </c>
      <c r="D29" s="16" t="s">
        <v>1090</v>
      </c>
      <c r="E29" s="16" t="s">
        <v>116</v>
      </c>
      <c r="F29" s="118" t="s">
        <v>116</v>
      </c>
    </row>
    <row r="30" spans="1:6" x14ac:dyDescent="0.35">
      <c r="A30" t="s">
        <v>158</v>
      </c>
      <c r="B30" t="s">
        <v>159</v>
      </c>
      <c r="C30" t="s">
        <v>21</v>
      </c>
      <c r="D30" s="16" t="s">
        <v>519</v>
      </c>
      <c r="E30" s="16" t="s">
        <v>121</v>
      </c>
      <c r="F30" s="118" t="s">
        <v>121</v>
      </c>
    </row>
    <row r="31" spans="1:6" x14ac:dyDescent="0.35">
      <c r="A31" t="s">
        <v>51</v>
      </c>
      <c r="B31" t="s">
        <v>52</v>
      </c>
      <c r="C31" t="s">
        <v>21</v>
      </c>
      <c r="D31" s="16" t="s">
        <v>519</v>
      </c>
      <c r="E31" s="16" t="s">
        <v>116</v>
      </c>
      <c r="F31" s="118" t="s">
        <v>116</v>
      </c>
    </row>
    <row r="32" spans="1:6" x14ac:dyDescent="0.35">
      <c r="A32" t="s">
        <v>49</v>
      </c>
      <c r="B32" t="s">
        <v>50</v>
      </c>
      <c r="C32" t="s">
        <v>8</v>
      </c>
      <c r="D32" s="16" t="s">
        <v>1090</v>
      </c>
      <c r="E32" s="16" t="s">
        <v>22</v>
      </c>
      <c r="F32" s="118" t="s">
        <v>121</v>
      </c>
    </row>
    <row r="33" spans="1:6" x14ac:dyDescent="0.35">
      <c r="A33" t="s">
        <v>160</v>
      </c>
      <c r="B33" t="s">
        <v>161</v>
      </c>
      <c r="C33" t="s">
        <v>8</v>
      </c>
      <c r="D33" s="16" t="s">
        <v>1090</v>
      </c>
      <c r="E33" s="16" t="s">
        <v>116</v>
      </c>
      <c r="F33" s="118" t="s">
        <v>116</v>
      </c>
    </row>
    <row r="34" spans="1:6" x14ac:dyDescent="0.35">
      <c r="A34" t="s">
        <v>162</v>
      </c>
      <c r="B34" t="s">
        <v>163</v>
      </c>
      <c r="C34" t="s">
        <v>4</v>
      </c>
      <c r="D34" s="16" t="s">
        <v>1094</v>
      </c>
      <c r="E34" s="16" t="s">
        <v>116</v>
      </c>
      <c r="F34" s="118" t="s">
        <v>116</v>
      </c>
    </row>
    <row r="35" spans="1:6" x14ac:dyDescent="0.35">
      <c r="A35" t="s">
        <v>164</v>
      </c>
      <c r="B35" t="s">
        <v>165</v>
      </c>
      <c r="C35" t="s">
        <v>4</v>
      </c>
      <c r="D35" s="16" t="s">
        <v>1094</v>
      </c>
      <c r="E35" s="16" t="s">
        <v>116</v>
      </c>
      <c r="F35" s="118" t="s">
        <v>116</v>
      </c>
    </row>
    <row r="36" spans="1:6" x14ac:dyDescent="0.35">
      <c r="A36" t="s">
        <v>166</v>
      </c>
      <c r="B36" t="s">
        <v>167</v>
      </c>
      <c r="C36" t="s">
        <v>8</v>
      </c>
      <c r="D36" s="16" t="s">
        <v>1094</v>
      </c>
      <c r="E36" s="16" t="s">
        <v>116</v>
      </c>
      <c r="F36" s="118" t="s">
        <v>116</v>
      </c>
    </row>
    <row r="37" spans="1:6" x14ac:dyDescent="0.35">
      <c r="A37" t="s">
        <v>168</v>
      </c>
      <c r="B37" t="s">
        <v>169</v>
      </c>
      <c r="C37" t="s">
        <v>21</v>
      </c>
      <c r="D37" s="16" t="s">
        <v>1094</v>
      </c>
      <c r="E37" s="16" t="s">
        <v>116</v>
      </c>
      <c r="F37" s="118" t="s">
        <v>116</v>
      </c>
    </row>
    <row r="38" spans="1:6" x14ac:dyDescent="0.35">
      <c r="A38" t="s">
        <v>170</v>
      </c>
      <c r="B38" t="s">
        <v>450</v>
      </c>
      <c r="C38" t="s">
        <v>21</v>
      </c>
      <c r="D38" s="16" t="s">
        <v>519</v>
      </c>
      <c r="E38" s="16" t="s">
        <v>121</v>
      </c>
      <c r="F38" s="118" t="s">
        <v>121</v>
      </c>
    </row>
    <row r="39" spans="1:6" x14ac:dyDescent="0.35">
      <c r="A39" t="s">
        <v>171</v>
      </c>
      <c r="B39" t="s">
        <v>172</v>
      </c>
      <c r="C39" t="s">
        <v>21</v>
      </c>
      <c r="D39" s="16" t="s">
        <v>519</v>
      </c>
      <c r="E39" s="16" t="s">
        <v>121</v>
      </c>
      <c r="F39" s="118" t="s">
        <v>121</v>
      </c>
    </row>
    <row r="40" spans="1:6" x14ac:dyDescent="0.35">
      <c r="A40" t="s">
        <v>48</v>
      </c>
      <c r="B40" t="s">
        <v>515</v>
      </c>
      <c r="C40" t="s">
        <v>4</v>
      </c>
      <c r="D40" s="16" t="s">
        <v>1092</v>
      </c>
      <c r="E40" s="16" t="s">
        <v>22</v>
      </c>
      <c r="F40" s="118" t="s">
        <v>116</v>
      </c>
    </row>
    <row r="41" spans="1:6" x14ac:dyDescent="0.35">
      <c r="A41" t="s">
        <v>47</v>
      </c>
      <c r="B41" t="s">
        <v>1085</v>
      </c>
      <c r="C41" t="s">
        <v>4</v>
      </c>
      <c r="D41" s="16" t="s">
        <v>1092</v>
      </c>
      <c r="E41" s="16" t="s">
        <v>22</v>
      </c>
      <c r="F41" s="118" t="s">
        <v>116</v>
      </c>
    </row>
    <row r="42" spans="1:6" x14ac:dyDescent="0.35">
      <c r="A42" t="s">
        <v>46</v>
      </c>
      <c r="B42" t="s">
        <v>1084</v>
      </c>
      <c r="C42" t="s">
        <v>4</v>
      </c>
      <c r="D42" s="16" t="s">
        <v>1092</v>
      </c>
      <c r="E42" s="16" t="s">
        <v>22</v>
      </c>
      <c r="F42" s="118" t="s">
        <v>116</v>
      </c>
    </row>
    <row r="43" spans="1:6" x14ac:dyDescent="0.35">
      <c r="A43" t="s">
        <v>45</v>
      </c>
      <c r="B43" t="s">
        <v>1083</v>
      </c>
      <c r="C43" t="s">
        <v>4</v>
      </c>
      <c r="D43" s="16" t="s">
        <v>1092</v>
      </c>
      <c r="E43" s="16" t="s">
        <v>22</v>
      </c>
      <c r="F43" s="118" t="s">
        <v>116</v>
      </c>
    </row>
    <row r="44" spans="1:6" x14ac:dyDescent="0.35">
      <c r="A44" t="s">
        <v>173</v>
      </c>
      <c r="B44" t="s">
        <v>174</v>
      </c>
      <c r="C44" t="s">
        <v>21</v>
      </c>
      <c r="D44" s="16" t="s">
        <v>519</v>
      </c>
      <c r="E44" s="16" t="s">
        <v>116</v>
      </c>
      <c r="F44" s="118" t="s">
        <v>116</v>
      </c>
    </row>
    <row r="45" spans="1:6" x14ac:dyDescent="0.35">
      <c r="A45" t="s">
        <v>175</v>
      </c>
      <c r="B45" t="s">
        <v>176</v>
      </c>
      <c r="C45" t="s">
        <v>4</v>
      </c>
      <c r="D45" s="16" t="s">
        <v>1095</v>
      </c>
      <c r="E45" s="16" t="s">
        <v>116</v>
      </c>
      <c r="F45" s="118" t="s">
        <v>116</v>
      </c>
    </row>
    <row r="46" spans="1:6" x14ac:dyDescent="0.35">
      <c r="A46" t="s">
        <v>177</v>
      </c>
      <c r="B46" t="s">
        <v>178</v>
      </c>
      <c r="C46" t="s">
        <v>21</v>
      </c>
      <c r="D46" s="16" t="s">
        <v>519</v>
      </c>
      <c r="E46" s="16" t="s">
        <v>116</v>
      </c>
      <c r="F46" s="118" t="s">
        <v>116</v>
      </c>
    </row>
    <row r="47" spans="1:6" x14ac:dyDescent="0.35">
      <c r="A47" t="s">
        <v>43</v>
      </c>
      <c r="B47" t="s">
        <v>44</v>
      </c>
      <c r="C47" t="s">
        <v>21</v>
      </c>
      <c r="D47" s="16" t="s">
        <v>1093</v>
      </c>
      <c r="E47" s="16" t="s">
        <v>116</v>
      </c>
      <c r="F47" s="118" t="s">
        <v>116</v>
      </c>
    </row>
    <row r="48" spans="1:6" x14ac:dyDescent="0.35">
      <c r="A48" t="s">
        <v>41</v>
      </c>
      <c r="B48" t="s">
        <v>42</v>
      </c>
      <c r="C48" t="s">
        <v>21</v>
      </c>
      <c r="D48" s="16" t="s">
        <v>1093</v>
      </c>
      <c r="E48" s="16" t="s">
        <v>22</v>
      </c>
      <c r="F48" s="118" t="s">
        <v>116</v>
      </c>
    </row>
    <row r="49" spans="1:6" x14ac:dyDescent="0.35">
      <c r="A49" t="s">
        <v>179</v>
      </c>
      <c r="B49" t="s">
        <v>180</v>
      </c>
      <c r="C49" t="s">
        <v>21</v>
      </c>
      <c r="D49" s="16" t="s">
        <v>519</v>
      </c>
      <c r="E49" s="16" t="s">
        <v>116</v>
      </c>
      <c r="F49" s="118" t="s">
        <v>116</v>
      </c>
    </row>
    <row r="50" spans="1:6" x14ac:dyDescent="0.35">
      <c r="A50" t="s">
        <v>181</v>
      </c>
      <c r="B50" t="s">
        <v>182</v>
      </c>
      <c r="C50" t="s">
        <v>8</v>
      </c>
      <c r="D50" s="16" t="s">
        <v>1090</v>
      </c>
      <c r="E50" s="16" t="s">
        <v>22</v>
      </c>
      <c r="F50" s="118" t="s">
        <v>116</v>
      </c>
    </row>
    <row r="51" spans="1:6" x14ac:dyDescent="0.35">
      <c r="A51" t="s">
        <v>183</v>
      </c>
      <c r="B51" t="s">
        <v>184</v>
      </c>
      <c r="C51" t="s">
        <v>21</v>
      </c>
      <c r="D51" s="16" t="s">
        <v>519</v>
      </c>
      <c r="E51" s="16" t="s">
        <v>116</v>
      </c>
      <c r="F51" s="118" t="s">
        <v>116</v>
      </c>
    </row>
    <row r="52" spans="1:6" x14ac:dyDescent="0.35">
      <c r="A52" t="s">
        <v>185</v>
      </c>
      <c r="B52" t="s">
        <v>186</v>
      </c>
      <c r="C52" t="s">
        <v>21</v>
      </c>
      <c r="D52" s="16" t="s">
        <v>519</v>
      </c>
      <c r="E52" s="16" t="s">
        <v>116</v>
      </c>
      <c r="F52" s="118" t="s">
        <v>116</v>
      </c>
    </row>
    <row r="53" spans="1:6" x14ac:dyDescent="0.35">
      <c r="A53" t="s">
        <v>187</v>
      </c>
      <c r="B53" t="s">
        <v>449</v>
      </c>
      <c r="C53" t="s">
        <v>21</v>
      </c>
      <c r="D53" s="16" t="s">
        <v>519</v>
      </c>
      <c r="E53" s="16" t="s">
        <v>121</v>
      </c>
      <c r="F53" s="118" t="s">
        <v>121</v>
      </c>
    </row>
    <row r="54" spans="1:6" x14ac:dyDescent="0.35">
      <c r="A54" t="s">
        <v>188</v>
      </c>
      <c r="B54" t="s">
        <v>189</v>
      </c>
      <c r="C54" t="s">
        <v>12</v>
      </c>
      <c r="D54" s="16" t="s">
        <v>1093</v>
      </c>
      <c r="E54" s="16" t="s">
        <v>116</v>
      </c>
      <c r="F54" s="118" t="s">
        <v>116</v>
      </c>
    </row>
    <row r="55" spans="1:6" x14ac:dyDescent="0.35">
      <c r="A55" t="s">
        <v>190</v>
      </c>
      <c r="B55" t="s">
        <v>191</v>
      </c>
      <c r="C55" t="s">
        <v>12</v>
      </c>
      <c r="D55" s="16" t="s">
        <v>1098</v>
      </c>
      <c r="E55" s="16" t="s">
        <v>116</v>
      </c>
      <c r="F55" s="118" t="s">
        <v>116</v>
      </c>
    </row>
    <row r="56" spans="1:6" x14ac:dyDescent="0.35">
      <c r="A56" t="s">
        <v>192</v>
      </c>
      <c r="B56" t="s">
        <v>193</v>
      </c>
      <c r="C56" t="s">
        <v>21</v>
      </c>
      <c r="D56" s="16" t="s">
        <v>1097</v>
      </c>
      <c r="E56" s="16" t="s">
        <v>116</v>
      </c>
      <c r="F56" s="118" t="s">
        <v>116</v>
      </c>
    </row>
    <row r="57" spans="1:6" x14ac:dyDescent="0.35">
      <c r="A57" t="s">
        <v>39</v>
      </c>
      <c r="B57" t="s">
        <v>40</v>
      </c>
      <c r="C57" t="s">
        <v>21</v>
      </c>
      <c r="D57" s="16" t="s">
        <v>519</v>
      </c>
      <c r="E57" s="16" t="s">
        <v>116</v>
      </c>
      <c r="F57" s="118" t="s">
        <v>116</v>
      </c>
    </row>
    <row r="58" spans="1:6" x14ac:dyDescent="0.35">
      <c r="A58" t="s">
        <v>194</v>
      </c>
      <c r="B58" t="s">
        <v>195</v>
      </c>
      <c r="C58" t="s">
        <v>21</v>
      </c>
      <c r="D58" s="16" t="s">
        <v>519</v>
      </c>
      <c r="E58" s="16" t="s">
        <v>116</v>
      </c>
      <c r="F58" s="118" t="s">
        <v>116</v>
      </c>
    </row>
    <row r="59" spans="1:6" x14ac:dyDescent="0.35">
      <c r="A59" t="s">
        <v>196</v>
      </c>
      <c r="B59" t="s">
        <v>197</v>
      </c>
      <c r="C59" t="s">
        <v>21</v>
      </c>
      <c r="D59" s="16" t="s">
        <v>519</v>
      </c>
      <c r="E59" s="16" t="s">
        <v>116</v>
      </c>
      <c r="F59" s="118" t="s">
        <v>116</v>
      </c>
    </row>
    <row r="60" spans="1:6" x14ac:dyDescent="0.35">
      <c r="A60" t="s">
        <v>198</v>
      </c>
      <c r="B60" t="s">
        <v>199</v>
      </c>
      <c r="C60" t="s">
        <v>21</v>
      </c>
      <c r="D60" s="16" t="s">
        <v>519</v>
      </c>
      <c r="E60" s="16" t="s">
        <v>121</v>
      </c>
      <c r="F60" s="118" t="s">
        <v>121</v>
      </c>
    </row>
    <row r="61" spans="1:6" x14ac:dyDescent="0.35">
      <c r="A61" t="s">
        <v>37</v>
      </c>
      <c r="B61" t="s">
        <v>1082</v>
      </c>
      <c r="C61" t="s">
        <v>21</v>
      </c>
      <c r="D61" s="16" t="s">
        <v>519</v>
      </c>
      <c r="E61" s="16" t="s">
        <v>22</v>
      </c>
      <c r="F61" s="118" t="s">
        <v>1087</v>
      </c>
    </row>
    <row r="62" spans="1:6" x14ac:dyDescent="0.35">
      <c r="A62" t="s">
        <v>35</v>
      </c>
      <c r="B62" t="s">
        <v>1081</v>
      </c>
      <c r="C62" t="s">
        <v>21</v>
      </c>
      <c r="D62" s="16" t="s">
        <v>519</v>
      </c>
      <c r="E62" s="16" t="s">
        <v>22</v>
      </c>
      <c r="F62" s="118" t="s">
        <v>1087</v>
      </c>
    </row>
    <row r="63" spans="1:6" x14ac:dyDescent="0.35">
      <c r="A63" t="s">
        <v>33</v>
      </c>
      <c r="B63" t="s">
        <v>1080</v>
      </c>
      <c r="C63" t="s">
        <v>8</v>
      </c>
      <c r="D63" s="16" t="s">
        <v>1090</v>
      </c>
      <c r="E63" s="16" t="s">
        <v>22</v>
      </c>
      <c r="F63" s="118" t="s">
        <v>1087</v>
      </c>
    </row>
    <row r="64" spans="1:6" x14ac:dyDescent="0.35">
      <c r="A64" t="s">
        <v>200</v>
      </c>
      <c r="B64" t="s">
        <v>201</v>
      </c>
      <c r="C64" t="s">
        <v>12</v>
      </c>
      <c r="D64" s="16" t="s">
        <v>1095</v>
      </c>
      <c r="E64" s="16" t="s">
        <v>116</v>
      </c>
      <c r="F64" s="118" t="s">
        <v>116</v>
      </c>
    </row>
    <row r="65" spans="1:6" x14ac:dyDescent="0.35">
      <c r="A65" t="s">
        <v>202</v>
      </c>
      <c r="B65" t="s">
        <v>203</v>
      </c>
      <c r="C65" t="s">
        <v>12</v>
      </c>
      <c r="D65" s="16" t="s">
        <v>1098</v>
      </c>
      <c r="E65" s="16" t="s">
        <v>116</v>
      </c>
      <c r="F65" s="118" t="s">
        <v>116</v>
      </c>
    </row>
    <row r="66" spans="1:6" x14ac:dyDescent="0.35">
      <c r="A66" t="s">
        <v>204</v>
      </c>
      <c r="B66" t="s">
        <v>205</v>
      </c>
      <c r="C66" t="s">
        <v>12</v>
      </c>
      <c r="D66" s="16" t="s">
        <v>1093</v>
      </c>
      <c r="E66" s="16" t="s">
        <v>116</v>
      </c>
      <c r="F66" s="118" t="s">
        <v>116</v>
      </c>
    </row>
    <row r="67" spans="1:6" x14ac:dyDescent="0.35">
      <c r="A67" t="s">
        <v>206</v>
      </c>
      <c r="B67" t="s">
        <v>448</v>
      </c>
      <c r="C67" t="s">
        <v>21</v>
      </c>
      <c r="D67" s="16" t="s">
        <v>1097</v>
      </c>
      <c r="E67" s="16" t="s">
        <v>116</v>
      </c>
      <c r="F67" s="118" t="s">
        <v>116</v>
      </c>
    </row>
    <row r="68" spans="1:6" x14ac:dyDescent="0.35">
      <c r="A68" t="s">
        <v>207</v>
      </c>
      <c r="B68" t="s">
        <v>208</v>
      </c>
      <c r="C68" t="s">
        <v>4</v>
      </c>
      <c r="D68" s="16" t="s">
        <v>1094</v>
      </c>
      <c r="E68" s="16" t="s">
        <v>116</v>
      </c>
      <c r="F68" s="118" t="s">
        <v>116</v>
      </c>
    </row>
    <row r="69" spans="1:6" x14ac:dyDescent="0.35">
      <c r="A69" t="s">
        <v>209</v>
      </c>
      <c r="B69" t="s">
        <v>447</v>
      </c>
      <c r="C69" t="s">
        <v>4</v>
      </c>
      <c r="D69" s="16" t="s">
        <v>1094</v>
      </c>
      <c r="E69" s="16" t="s">
        <v>116</v>
      </c>
      <c r="F69" s="118" t="s">
        <v>116</v>
      </c>
    </row>
    <row r="70" spans="1:6" x14ac:dyDescent="0.35">
      <c r="A70" t="s">
        <v>210</v>
      </c>
      <c r="B70" t="s">
        <v>211</v>
      </c>
      <c r="C70" t="s">
        <v>8</v>
      </c>
      <c r="D70" s="16" t="s">
        <v>1094</v>
      </c>
      <c r="E70" s="16" t="s">
        <v>116</v>
      </c>
      <c r="F70" s="118" t="s">
        <v>116</v>
      </c>
    </row>
    <row r="71" spans="1:6" x14ac:dyDescent="0.35">
      <c r="A71" t="s">
        <v>212</v>
      </c>
      <c r="B71" t="s">
        <v>213</v>
      </c>
      <c r="C71" t="s">
        <v>21</v>
      </c>
      <c r="D71" s="16" t="s">
        <v>1094</v>
      </c>
      <c r="E71" s="16" t="s">
        <v>116</v>
      </c>
      <c r="F71" s="118" t="s">
        <v>116</v>
      </c>
    </row>
    <row r="72" spans="1:6" x14ac:dyDescent="0.35">
      <c r="A72" t="s">
        <v>214</v>
      </c>
      <c r="B72" t="s">
        <v>446</v>
      </c>
      <c r="C72" t="s">
        <v>12</v>
      </c>
      <c r="D72" s="16" t="s">
        <v>1095</v>
      </c>
      <c r="E72" s="16" t="s">
        <v>116</v>
      </c>
      <c r="F72" s="118" t="s">
        <v>116</v>
      </c>
    </row>
    <row r="73" spans="1:6" x14ac:dyDescent="0.35">
      <c r="A73" t="s">
        <v>215</v>
      </c>
      <c r="B73" t="s">
        <v>201</v>
      </c>
      <c r="C73" t="s">
        <v>12</v>
      </c>
      <c r="D73" s="16" t="s">
        <v>1095</v>
      </c>
      <c r="E73" s="16" t="s">
        <v>116</v>
      </c>
      <c r="F73" s="118" t="s">
        <v>116</v>
      </c>
    </row>
    <row r="74" spans="1:6" x14ac:dyDescent="0.35">
      <c r="A74" t="s">
        <v>31</v>
      </c>
      <c r="B74" t="s">
        <v>32</v>
      </c>
      <c r="C74" t="s">
        <v>21</v>
      </c>
      <c r="D74" s="16" t="s">
        <v>519</v>
      </c>
      <c r="E74" s="16" t="s">
        <v>22</v>
      </c>
      <c r="F74" s="118" t="s">
        <v>1087</v>
      </c>
    </row>
    <row r="75" spans="1:6" x14ac:dyDescent="0.35">
      <c r="A75" t="s">
        <v>29</v>
      </c>
      <c r="B75" t="s">
        <v>1079</v>
      </c>
      <c r="C75" t="s">
        <v>21</v>
      </c>
      <c r="D75" s="16" t="s">
        <v>519</v>
      </c>
      <c r="E75" s="16" t="s">
        <v>22</v>
      </c>
      <c r="F75" s="118" t="s">
        <v>1087</v>
      </c>
    </row>
    <row r="76" spans="1:6" x14ac:dyDescent="0.35">
      <c r="A76" t="s">
        <v>216</v>
      </c>
      <c r="B76" t="s">
        <v>217</v>
      </c>
      <c r="C76" t="s">
        <v>8</v>
      </c>
      <c r="D76" s="16" t="s">
        <v>1090</v>
      </c>
      <c r="E76" s="16" t="s">
        <v>116</v>
      </c>
      <c r="F76" s="118" t="s">
        <v>116</v>
      </c>
    </row>
    <row r="77" spans="1:6" x14ac:dyDescent="0.35">
      <c r="A77" t="s">
        <v>27</v>
      </c>
      <c r="B77" t="s">
        <v>28</v>
      </c>
      <c r="C77" t="s">
        <v>21</v>
      </c>
      <c r="D77" s="16" t="s">
        <v>519</v>
      </c>
      <c r="E77" s="16" t="s">
        <v>445</v>
      </c>
      <c r="F77" s="118" t="s">
        <v>445</v>
      </c>
    </row>
    <row r="78" spans="1:6" x14ac:dyDescent="0.35">
      <c r="A78" t="s">
        <v>218</v>
      </c>
      <c r="B78" t="s">
        <v>219</v>
      </c>
      <c r="C78" t="s">
        <v>4</v>
      </c>
      <c r="D78" s="16" t="s">
        <v>1092</v>
      </c>
      <c r="E78" s="16" t="s">
        <v>22</v>
      </c>
      <c r="F78" s="118" t="s">
        <v>116</v>
      </c>
    </row>
    <row r="79" spans="1:6" x14ac:dyDescent="0.35">
      <c r="A79" t="s">
        <v>220</v>
      </c>
      <c r="B79" t="s">
        <v>444</v>
      </c>
      <c r="C79" t="s">
        <v>8</v>
      </c>
      <c r="D79" s="16" t="s">
        <v>1090</v>
      </c>
      <c r="E79" s="16" t="s">
        <v>22</v>
      </c>
      <c r="F79" s="118" t="s">
        <v>116</v>
      </c>
    </row>
    <row r="80" spans="1:6" x14ac:dyDescent="0.35">
      <c r="A80" t="s">
        <v>26</v>
      </c>
      <c r="B80" t="s">
        <v>443</v>
      </c>
      <c r="C80" t="s">
        <v>21</v>
      </c>
      <c r="D80" s="16" t="s">
        <v>519</v>
      </c>
      <c r="E80" s="16" t="s">
        <v>22</v>
      </c>
      <c r="F80" s="118" t="s">
        <v>116</v>
      </c>
    </row>
    <row r="81" spans="1:6" x14ac:dyDescent="0.35">
      <c r="A81" t="s">
        <v>23</v>
      </c>
      <c r="B81" t="s">
        <v>24</v>
      </c>
      <c r="C81" t="s">
        <v>25</v>
      </c>
      <c r="D81" s="16" t="s">
        <v>1091</v>
      </c>
      <c r="E81" s="16" t="s">
        <v>22</v>
      </c>
      <c r="F81" s="118" t="s">
        <v>116</v>
      </c>
    </row>
    <row r="82" spans="1:6" x14ac:dyDescent="0.35">
      <c r="A82" t="s">
        <v>221</v>
      </c>
      <c r="B82" t="s">
        <v>222</v>
      </c>
      <c r="C82" t="s">
        <v>18</v>
      </c>
      <c r="D82" s="16" t="s">
        <v>1096</v>
      </c>
      <c r="E82" s="16" t="s">
        <v>116</v>
      </c>
      <c r="F82" s="118" t="s">
        <v>116</v>
      </c>
    </row>
    <row r="83" spans="1:6" x14ac:dyDescent="0.35">
      <c r="A83" t="s">
        <v>223</v>
      </c>
      <c r="B83" t="s">
        <v>224</v>
      </c>
      <c r="C83" t="s">
        <v>12</v>
      </c>
      <c r="D83" s="16" t="s">
        <v>1098</v>
      </c>
      <c r="E83" s="16" t="s">
        <v>116</v>
      </c>
      <c r="F83" s="118" t="s">
        <v>116</v>
      </c>
    </row>
    <row r="84" spans="1:6" x14ac:dyDescent="0.35">
      <c r="A84" t="s">
        <v>225</v>
      </c>
      <c r="B84" t="s">
        <v>226</v>
      </c>
      <c r="C84" t="s">
        <v>12</v>
      </c>
      <c r="D84" s="16" t="s">
        <v>1093</v>
      </c>
      <c r="E84" s="16" t="s">
        <v>116</v>
      </c>
      <c r="F84" s="118" t="s">
        <v>116</v>
      </c>
    </row>
    <row r="85" spans="1:6" x14ac:dyDescent="0.35">
      <c r="A85" t="s">
        <v>227</v>
      </c>
      <c r="B85" t="s">
        <v>228</v>
      </c>
      <c r="C85" t="s">
        <v>21</v>
      </c>
      <c r="D85" s="16" t="s">
        <v>1097</v>
      </c>
      <c r="E85" s="16" t="s">
        <v>116</v>
      </c>
      <c r="F85" s="118" t="s">
        <v>116</v>
      </c>
    </row>
    <row r="86" spans="1:6" x14ac:dyDescent="0.35">
      <c r="A86" t="s">
        <v>229</v>
      </c>
      <c r="B86" t="s">
        <v>230</v>
      </c>
      <c r="C86" t="s">
        <v>4</v>
      </c>
      <c r="D86" s="16" t="s">
        <v>1094</v>
      </c>
      <c r="E86" s="16" t="s">
        <v>116</v>
      </c>
      <c r="F86" s="118" t="s">
        <v>116</v>
      </c>
    </row>
    <row r="87" spans="1:6" x14ac:dyDescent="0.35">
      <c r="A87" t="s">
        <v>231</v>
      </c>
      <c r="B87" t="s">
        <v>442</v>
      </c>
      <c r="C87" t="s">
        <v>4</v>
      </c>
      <c r="D87" s="16" t="s">
        <v>1094</v>
      </c>
      <c r="E87" s="16" t="s">
        <v>116</v>
      </c>
      <c r="F87" s="118" t="s">
        <v>116</v>
      </c>
    </row>
    <row r="88" spans="1:6" x14ac:dyDescent="0.35">
      <c r="A88" t="s">
        <v>232</v>
      </c>
      <c r="B88" t="s">
        <v>233</v>
      </c>
      <c r="C88" t="s">
        <v>8</v>
      </c>
      <c r="D88" s="16" t="s">
        <v>1094</v>
      </c>
      <c r="E88" s="16" t="s">
        <v>116</v>
      </c>
      <c r="F88" s="118" t="s">
        <v>116</v>
      </c>
    </row>
    <row r="89" spans="1:6" x14ac:dyDescent="0.35">
      <c r="A89" t="s">
        <v>234</v>
      </c>
      <c r="B89" t="s">
        <v>235</v>
      </c>
      <c r="C89" t="s">
        <v>21</v>
      </c>
      <c r="D89" s="16" t="s">
        <v>1094</v>
      </c>
      <c r="E89" s="16" t="s">
        <v>116</v>
      </c>
      <c r="F89" s="118" t="s">
        <v>116</v>
      </c>
    </row>
    <row r="90" spans="1:6" x14ac:dyDescent="0.35">
      <c r="A90" t="s">
        <v>236</v>
      </c>
      <c r="B90" t="s">
        <v>237</v>
      </c>
      <c r="C90" t="s">
        <v>12</v>
      </c>
      <c r="D90" s="16" t="s">
        <v>1095</v>
      </c>
      <c r="E90" s="16" t="s">
        <v>116</v>
      </c>
      <c r="F90" s="118" t="s">
        <v>116</v>
      </c>
    </row>
    <row r="91" spans="1:6" x14ac:dyDescent="0.35">
      <c r="A91" t="s">
        <v>238</v>
      </c>
      <c r="B91" t="s">
        <v>239</v>
      </c>
      <c r="C91" t="s">
        <v>12</v>
      </c>
      <c r="D91" s="16" t="s">
        <v>1095</v>
      </c>
      <c r="E91" s="16" t="s">
        <v>116</v>
      </c>
      <c r="F91" s="118" t="s">
        <v>116</v>
      </c>
    </row>
    <row r="92" spans="1:6" x14ac:dyDescent="0.35">
      <c r="A92" t="s">
        <v>240</v>
      </c>
      <c r="B92" t="s">
        <v>241</v>
      </c>
      <c r="C92" t="s">
        <v>18</v>
      </c>
      <c r="D92" s="16" t="s">
        <v>1096</v>
      </c>
      <c r="E92" s="16" t="s">
        <v>116</v>
      </c>
      <c r="F92" s="118" t="s">
        <v>116</v>
      </c>
    </row>
    <row r="93" spans="1:6" x14ac:dyDescent="0.35">
      <c r="A93" t="s">
        <v>19</v>
      </c>
      <c r="B93" t="s">
        <v>20</v>
      </c>
      <c r="C93" t="s">
        <v>21</v>
      </c>
      <c r="D93" s="16" t="s">
        <v>519</v>
      </c>
      <c r="E93" s="16" t="s">
        <v>22</v>
      </c>
      <c r="F93" s="118" t="s">
        <v>116</v>
      </c>
    </row>
    <row r="94" spans="1:6" x14ac:dyDescent="0.35">
      <c r="A94" t="s">
        <v>16</v>
      </c>
      <c r="B94" t="s">
        <v>17</v>
      </c>
      <c r="C94" t="s">
        <v>18</v>
      </c>
      <c r="D94" s="16" t="s">
        <v>519</v>
      </c>
      <c r="E94" s="16" t="s">
        <v>5</v>
      </c>
      <c r="F94" s="118" t="s">
        <v>1086</v>
      </c>
    </row>
    <row r="95" spans="1:6" x14ac:dyDescent="0.35">
      <c r="A95" t="s">
        <v>14</v>
      </c>
      <c r="B95" t="s">
        <v>15</v>
      </c>
      <c r="C95" t="s">
        <v>4</v>
      </c>
      <c r="D95" s="16" t="s">
        <v>1092</v>
      </c>
      <c r="E95" s="16" t="s">
        <v>22</v>
      </c>
      <c r="F95" s="118" t="s">
        <v>22</v>
      </c>
    </row>
    <row r="96" spans="1:6" x14ac:dyDescent="0.35">
      <c r="A96" t="s">
        <v>242</v>
      </c>
      <c r="B96" t="s">
        <v>243</v>
      </c>
      <c r="C96" t="s">
        <v>12</v>
      </c>
      <c r="D96" s="16" t="s">
        <v>1100</v>
      </c>
      <c r="E96" s="16" t="s">
        <v>116</v>
      </c>
      <c r="F96" s="118" t="s">
        <v>116</v>
      </c>
    </row>
    <row r="97" spans="1:6" x14ac:dyDescent="0.35">
      <c r="A97" t="s">
        <v>11</v>
      </c>
      <c r="B97" t="s">
        <v>441</v>
      </c>
      <c r="C97" t="s">
        <v>4</v>
      </c>
      <c r="D97" s="16" t="s">
        <v>1092</v>
      </c>
      <c r="E97" s="16" t="s">
        <v>445</v>
      </c>
      <c r="F97" s="118" t="s">
        <v>445</v>
      </c>
    </row>
    <row r="98" spans="1:6" x14ac:dyDescent="0.35">
      <c r="A98" t="s">
        <v>10</v>
      </c>
      <c r="B98" t="s">
        <v>440</v>
      </c>
      <c r="C98" t="s">
        <v>4</v>
      </c>
      <c r="D98" s="16" t="s">
        <v>1092</v>
      </c>
      <c r="E98" s="16" t="s">
        <v>445</v>
      </c>
      <c r="F98" s="118" t="s">
        <v>445</v>
      </c>
    </row>
    <row r="99" spans="1:6" x14ac:dyDescent="0.35">
      <c r="A99" t="s">
        <v>9</v>
      </c>
      <c r="B99" t="s">
        <v>439</v>
      </c>
      <c r="C99" t="s">
        <v>4</v>
      </c>
      <c r="D99" s="16" t="s">
        <v>1092</v>
      </c>
      <c r="E99" s="16" t="s">
        <v>445</v>
      </c>
      <c r="F99" s="118" t="s">
        <v>445</v>
      </c>
    </row>
    <row r="100" spans="1:6" x14ac:dyDescent="0.35">
      <c r="A100" t="s">
        <v>6</v>
      </c>
      <c r="B100" t="s">
        <v>7</v>
      </c>
      <c r="C100" t="s">
        <v>8</v>
      </c>
      <c r="D100" s="16" t="s">
        <v>1090</v>
      </c>
      <c r="E100" s="16" t="s">
        <v>22</v>
      </c>
      <c r="F100" s="118" t="s">
        <v>116</v>
      </c>
    </row>
    <row r="101" spans="1:6" x14ac:dyDescent="0.35">
      <c r="A101" t="s">
        <v>3</v>
      </c>
      <c r="B101" t="s">
        <v>340</v>
      </c>
      <c r="C101" t="s">
        <v>4</v>
      </c>
      <c r="D101" s="16" t="s">
        <v>1092</v>
      </c>
      <c r="E101" s="16" t="s">
        <v>445</v>
      </c>
      <c r="F101" s="118" t="s">
        <v>445</v>
      </c>
    </row>
    <row r="102" spans="1:6" x14ac:dyDescent="0.35">
      <c r="A102" t="s">
        <v>244</v>
      </c>
      <c r="B102" t="s">
        <v>245</v>
      </c>
      <c r="C102" t="s">
        <v>12</v>
      </c>
      <c r="D102" s="16" t="s">
        <v>1098</v>
      </c>
      <c r="E102" s="16" t="s">
        <v>116</v>
      </c>
      <c r="F102" s="118" t="s">
        <v>116</v>
      </c>
    </row>
    <row r="103" spans="1:6" x14ac:dyDescent="0.35">
      <c r="A103" t="s">
        <v>246</v>
      </c>
      <c r="B103" t="s">
        <v>247</v>
      </c>
      <c r="C103" t="s">
        <v>12</v>
      </c>
      <c r="D103" s="16" t="s">
        <v>1093</v>
      </c>
      <c r="E103" s="16" t="s">
        <v>116</v>
      </c>
      <c r="F103" s="118" t="s">
        <v>116</v>
      </c>
    </row>
    <row r="104" spans="1:6" x14ac:dyDescent="0.35">
      <c r="A104" t="s">
        <v>248</v>
      </c>
      <c r="B104" t="s">
        <v>249</v>
      </c>
      <c r="C104" t="s">
        <v>21</v>
      </c>
      <c r="D104" s="16" t="s">
        <v>1097</v>
      </c>
      <c r="E104" s="16" t="s">
        <v>116</v>
      </c>
      <c r="F104" s="118" t="s">
        <v>116</v>
      </c>
    </row>
    <row r="105" spans="1:6" x14ac:dyDescent="0.35">
      <c r="A105" t="s">
        <v>250</v>
      </c>
      <c r="B105" t="s">
        <v>251</v>
      </c>
      <c r="C105" t="s">
        <v>4</v>
      </c>
      <c r="D105" s="16" t="s">
        <v>1094</v>
      </c>
      <c r="E105" s="16" t="s">
        <v>116</v>
      </c>
      <c r="F105" s="118" t="s">
        <v>116</v>
      </c>
    </row>
    <row r="106" spans="1:6" x14ac:dyDescent="0.35">
      <c r="A106" t="s">
        <v>252</v>
      </c>
      <c r="B106" t="s">
        <v>253</v>
      </c>
      <c r="C106" t="s">
        <v>4</v>
      </c>
      <c r="D106" s="16" t="s">
        <v>1094</v>
      </c>
      <c r="E106" s="16" t="s">
        <v>116</v>
      </c>
      <c r="F106" s="118" t="s">
        <v>116</v>
      </c>
    </row>
    <row r="107" spans="1:6" x14ac:dyDescent="0.35">
      <c r="A107" t="s">
        <v>254</v>
      </c>
      <c r="B107" t="s">
        <v>255</v>
      </c>
      <c r="C107" t="s">
        <v>8</v>
      </c>
      <c r="D107" s="16" t="s">
        <v>1094</v>
      </c>
      <c r="E107" s="16" t="s">
        <v>116</v>
      </c>
      <c r="F107" s="118" t="s">
        <v>116</v>
      </c>
    </row>
    <row r="108" spans="1:6" x14ac:dyDescent="0.35">
      <c r="A108" t="s">
        <v>256</v>
      </c>
      <c r="B108" t="s">
        <v>257</v>
      </c>
      <c r="C108" t="s">
        <v>21</v>
      </c>
      <c r="D108" s="16" t="s">
        <v>1094</v>
      </c>
      <c r="E108" s="16" t="s">
        <v>116</v>
      </c>
      <c r="F108" s="118" t="s">
        <v>116</v>
      </c>
    </row>
    <row r="109" spans="1:6" x14ac:dyDescent="0.35">
      <c r="A109" t="s">
        <v>258</v>
      </c>
      <c r="B109" t="s">
        <v>259</v>
      </c>
      <c r="C109" t="s">
        <v>12</v>
      </c>
      <c r="D109" s="16" t="s">
        <v>1095</v>
      </c>
      <c r="E109" s="16" t="s">
        <v>116</v>
      </c>
      <c r="F109" s="118" t="s">
        <v>116</v>
      </c>
    </row>
    <row r="110" spans="1:6" x14ac:dyDescent="0.35">
      <c r="A110" t="s">
        <v>260</v>
      </c>
      <c r="B110" t="s">
        <v>261</v>
      </c>
      <c r="C110" t="s">
        <v>12</v>
      </c>
      <c r="D110" s="16" t="s">
        <v>1095</v>
      </c>
      <c r="E110" s="16" t="s">
        <v>116</v>
      </c>
      <c r="F110" s="118" t="s">
        <v>116</v>
      </c>
    </row>
    <row r="111" spans="1:6" x14ac:dyDescent="0.35">
      <c r="A111" t="s">
        <v>262</v>
      </c>
      <c r="B111" t="s">
        <v>263</v>
      </c>
      <c r="C111" t="s">
        <v>18</v>
      </c>
      <c r="D111" s="16" t="s">
        <v>1096</v>
      </c>
      <c r="E111" s="16" t="s">
        <v>116</v>
      </c>
      <c r="F111" s="118" t="s">
        <v>116</v>
      </c>
    </row>
    <row r="112" spans="1:6" x14ac:dyDescent="0.35">
      <c r="A112" t="s">
        <v>264</v>
      </c>
      <c r="B112" t="s">
        <v>265</v>
      </c>
      <c r="C112" t="s">
        <v>12</v>
      </c>
      <c r="D112" s="16" t="s">
        <v>1100</v>
      </c>
      <c r="E112" s="16" t="s">
        <v>116</v>
      </c>
      <c r="F112" s="118" t="s">
        <v>116</v>
      </c>
    </row>
    <row r="113" spans="1:6" x14ac:dyDescent="0.35">
      <c r="A113" t="s">
        <v>64</v>
      </c>
      <c r="B113" t="s">
        <v>65</v>
      </c>
      <c r="C113" t="s">
        <v>8</v>
      </c>
      <c r="D113" s="16" t="s">
        <v>1090</v>
      </c>
      <c r="E113" s="16" t="s">
        <v>22</v>
      </c>
      <c r="F113" s="118" t="s">
        <v>116</v>
      </c>
    </row>
    <row r="114" spans="1:6" x14ac:dyDescent="0.35">
      <c r="A114" t="s">
        <v>69</v>
      </c>
      <c r="B114" t="s">
        <v>70</v>
      </c>
      <c r="C114" t="s">
        <v>21</v>
      </c>
      <c r="D114" s="16" t="s">
        <v>519</v>
      </c>
      <c r="E114" s="16" t="s">
        <v>121</v>
      </c>
      <c r="F114" s="118" t="s">
        <v>121</v>
      </c>
    </row>
    <row r="115" spans="1:6" x14ac:dyDescent="0.35">
      <c r="A115" t="s">
        <v>68</v>
      </c>
      <c r="B115" t="s">
        <v>438</v>
      </c>
      <c r="C115" t="s">
        <v>4</v>
      </c>
      <c r="D115" s="16" t="s">
        <v>1092</v>
      </c>
      <c r="E115" s="16" t="s">
        <v>22</v>
      </c>
      <c r="F115" s="118" t="s">
        <v>116</v>
      </c>
    </row>
    <row r="116" spans="1:6" x14ac:dyDescent="0.35">
      <c r="A116" t="s">
        <v>266</v>
      </c>
      <c r="B116" t="s">
        <v>267</v>
      </c>
      <c r="C116" t="s">
        <v>21</v>
      </c>
      <c r="D116" s="16" t="s">
        <v>519</v>
      </c>
      <c r="E116" s="16" t="s">
        <v>116</v>
      </c>
      <c r="F116" s="118" t="s">
        <v>116</v>
      </c>
    </row>
    <row r="117" spans="1:6" x14ac:dyDescent="0.35">
      <c r="A117" t="s">
        <v>66</v>
      </c>
      <c r="B117" t="s">
        <v>67</v>
      </c>
      <c r="C117" t="s">
        <v>21</v>
      </c>
      <c r="D117" s="16" t="s">
        <v>519</v>
      </c>
      <c r="E117" s="16" t="s">
        <v>22</v>
      </c>
      <c r="F117" s="118" t="s">
        <v>116</v>
      </c>
    </row>
    <row r="118" spans="1:6" x14ac:dyDescent="0.35">
      <c r="A118" t="s">
        <v>111</v>
      </c>
      <c r="B118" t="s">
        <v>112</v>
      </c>
      <c r="C118" t="s">
        <v>4</v>
      </c>
      <c r="D118" s="16" t="s">
        <v>1095</v>
      </c>
      <c r="E118" s="16" t="s">
        <v>22</v>
      </c>
      <c r="F118" s="118" t="s">
        <v>22</v>
      </c>
    </row>
    <row r="119" spans="1:6" x14ac:dyDescent="0.35">
      <c r="A119" t="s">
        <v>109</v>
      </c>
      <c r="B119" t="s">
        <v>110</v>
      </c>
      <c r="C119" t="s">
        <v>4</v>
      </c>
      <c r="D119" s="16" t="s">
        <v>1092</v>
      </c>
      <c r="E119" s="16" t="s">
        <v>121</v>
      </c>
      <c r="F119" s="118" t="s">
        <v>121</v>
      </c>
    </row>
    <row r="120" spans="1:6" x14ac:dyDescent="0.35">
      <c r="A120" t="s">
        <v>108</v>
      </c>
      <c r="B120" t="s">
        <v>1078</v>
      </c>
      <c r="C120" t="s">
        <v>25</v>
      </c>
      <c r="D120" s="16" t="s">
        <v>1091</v>
      </c>
      <c r="E120" s="16" t="s">
        <v>434</v>
      </c>
      <c r="F120" s="118" t="s">
        <v>116</v>
      </c>
    </row>
    <row r="121" spans="1:6" x14ac:dyDescent="0.35">
      <c r="A121" t="s">
        <v>106</v>
      </c>
      <c r="B121" t="s">
        <v>107</v>
      </c>
      <c r="C121" t="s">
        <v>12</v>
      </c>
      <c r="D121" s="16" t="s">
        <v>1098</v>
      </c>
      <c r="E121" s="16" t="s">
        <v>116</v>
      </c>
      <c r="F121" s="118" t="s">
        <v>116</v>
      </c>
    </row>
    <row r="122" spans="1:6" x14ac:dyDescent="0.35">
      <c r="A122" t="s">
        <v>104</v>
      </c>
      <c r="B122" t="s">
        <v>105</v>
      </c>
      <c r="C122" t="s">
        <v>12</v>
      </c>
      <c r="D122" s="16" t="s">
        <v>1093</v>
      </c>
      <c r="E122" s="16" t="s">
        <v>116</v>
      </c>
      <c r="F122" s="118" t="s">
        <v>116</v>
      </c>
    </row>
    <row r="123" spans="1:6" x14ac:dyDescent="0.35">
      <c r="A123" t="s">
        <v>102</v>
      </c>
      <c r="B123" t="s">
        <v>103</v>
      </c>
      <c r="C123" t="s">
        <v>21</v>
      </c>
      <c r="D123" s="16" t="s">
        <v>1097</v>
      </c>
      <c r="E123" s="16" t="s">
        <v>116</v>
      </c>
      <c r="F123" s="118" t="s">
        <v>116</v>
      </c>
    </row>
    <row r="124" spans="1:6" x14ac:dyDescent="0.35">
      <c r="A124" t="s">
        <v>100</v>
      </c>
      <c r="B124" t="s">
        <v>101</v>
      </c>
      <c r="C124" t="s">
        <v>4</v>
      </c>
      <c r="D124" s="16" t="s">
        <v>1094</v>
      </c>
      <c r="E124" s="16" t="s">
        <v>116</v>
      </c>
      <c r="F124" s="118" t="s">
        <v>116</v>
      </c>
    </row>
    <row r="125" spans="1:6" x14ac:dyDescent="0.35">
      <c r="A125" t="s">
        <v>98</v>
      </c>
      <c r="B125" t="s">
        <v>99</v>
      </c>
      <c r="C125" t="s">
        <v>4</v>
      </c>
      <c r="D125" s="16" t="s">
        <v>1094</v>
      </c>
      <c r="E125" s="16" t="s">
        <v>116</v>
      </c>
      <c r="F125" s="118" t="s">
        <v>116</v>
      </c>
    </row>
    <row r="126" spans="1:6" x14ac:dyDescent="0.35">
      <c r="A126" t="s">
        <v>96</v>
      </c>
      <c r="B126" t="s">
        <v>97</v>
      </c>
      <c r="C126" t="s">
        <v>8</v>
      </c>
      <c r="D126" s="16" t="s">
        <v>1094</v>
      </c>
      <c r="E126" s="16" t="s">
        <v>116</v>
      </c>
      <c r="F126" s="118" t="s">
        <v>116</v>
      </c>
    </row>
    <row r="127" spans="1:6" x14ac:dyDescent="0.35">
      <c r="A127" t="s">
        <v>94</v>
      </c>
      <c r="B127" t="s">
        <v>95</v>
      </c>
      <c r="C127" t="s">
        <v>21</v>
      </c>
      <c r="D127" s="16" t="s">
        <v>1094</v>
      </c>
      <c r="E127" s="16" t="s">
        <v>116</v>
      </c>
      <c r="F127" s="118" t="s">
        <v>116</v>
      </c>
    </row>
    <row r="128" spans="1:6" x14ac:dyDescent="0.35">
      <c r="A128" t="s">
        <v>92</v>
      </c>
      <c r="B128" t="s">
        <v>93</v>
      </c>
      <c r="C128" t="s">
        <v>12</v>
      </c>
      <c r="D128" s="16" t="s">
        <v>1095</v>
      </c>
      <c r="E128" s="16" t="s">
        <v>116</v>
      </c>
      <c r="F128" s="118" t="s">
        <v>116</v>
      </c>
    </row>
    <row r="129" spans="1:6" x14ac:dyDescent="0.35">
      <c r="A129" t="s">
        <v>90</v>
      </c>
      <c r="B129" t="s">
        <v>91</v>
      </c>
      <c r="C129" t="s">
        <v>12</v>
      </c>
      <c r="D129" s="16" t="s">
        <v>1095</v>
      </c>
      <c r="E129" s="16" t="s">
        <v>116</v>
      </c>
      <c r="F129" s="118" t="s">
        <v>116</v>
      </c>
    </row>
    <row r="130" spans="1:6" x14ac:dyDescent="0.35">
      <c r="A130" t="s">
        <v>88</v>
      </c>
      <c r="B130" t="s">
        <v>89</v>
      </c>
      <c r="C130" t="s">
        <v>18</v>
      </c>
      <c r="D130" s="16" t="s">
        <v>1096</v>
      </c>
      <c r="E130" s="16" t="s">
        <v>116</v>
      </c>
      <c r="F130" s="118" t="s">
        <v>116</v>
      </c>
    </row>
    <row r="131" spans="1:6" x14ac:dyDescent="0.35">
      <c r="A131" t="s">
        <v>86</v>
      </c>
      <c r="B131" t="s">
        <v>87</v>
      </c>
      <c r="C131" t="s">
        <v>12</v>
      </c>
      <c r="D131" s="16" t="s">
        <v>1100</v>
      </c>
      <c r="E131" s="16" t="s">
        <v>116</v>
      </c>
      <c r="F131" s="118" t="s">
        <v>116</v>
      </c>
    </row>
    <row r="132" spans="1:6" x14ac:dyDescent="0.35">
      <c r="A132" t="s">
        <v>84</v>
      </c>
      <c r="B132" t="s">
        <v>85</v>
      </c>
      <c r="C132" t="s">
        <v>21</v>
      </c>
      <c r="D132" s="16" t="s">
        <v>519</v>
      </c>
      <c r="E132" s="16" t="s">
        <v>116</v>
      </c>
      <c r="F132" s="118" t="s">
        <v>116</v>
      </c>
    </row>
    <row r="133" spans="1:6" x14ac:dyDescent="0.35">
      <c r="A133" t="s">
        <v>82</v>
      </c>
      <c r="B133" t="s">
        <v>83</v>
      </c>
      <c r="C133" t="s">
        <v>8</v>
      </c>
      <c r="D133" s="16" t="s">
        <v>1090</v>
      </c>
      <c r="E133" s="16" t="s">
        <v>22</v>
      </c>
      <c r="F133" s="118" t="s">
        <v>22</v>
      </c>
    </row>
    <row r="134" spans="1:6" x14ac:dyDescent="0.35">
      <c r="A134" t="s">
        <v>80</v>
      </c>
      <c r="B134" t="s">
        <v>81</v>
      </c>
      <c r="C134" t="s">
        <v>4</v>
      </c>
      <c r="D134" s="16" t="s">
        <v>1095</v>
      </c>
      <c r="E134" s="16" t="s">
        <v>22</v>
      </c>
      <c r="F134" s="118" t="s">
        <v>22</v>
      </c>
    </row>
    <row r="135" spans="1:6" x14ac:dyDescent="0.35">
      <c r="A135" t="s">
        <v>79</v>
      </c>
      <c r="B135" t="s">
        <v>437</v>
      </c>
      <c r="C135" t="s">
        <v>4</v>
      </c>
      <c r="D135" s="16" t="s">
        <v>1092</v>
      </c>
      <c r="E135" s="16" t="s">
        <v>22</v>
      </c>
      <c r="F135" s="118" t="s">
        <v>116</v>
      </c>
    </row>
    <row r="136" spans="1:6" x14ac:dyDescent="0.35">
      <c r="A136" t="s">
        <v>78</v>
      </c>
      <c r="B136" t="s">
        <v>436</v>
      </c>
      <c r="C136" t="s">
        <v>8</v>
      </c>
      <c r="D136" s="16" t="s">
        <v>1090</v>
      </c>
      <c r="E136" s="16" t="s">
        <v>22</v>
      </c>
      <c r="F136" s="118" t="s">
        <v>116</v>
      </c>
    </row>
    <row r="137" spans="1:6" x14ac:dyDescent="0.35">
      <c r="A137" t="s">
        <v>77</v>
      </c>
      <c r="B137" t="s">
        <v>435</v>
      </c>
      <c r="C137" t="s">
        <v>21</v>
      </c>
      <c r="D137" s="16" t="s">
        <v>519</v>
      </c>
      <c r="E137" s="16" t="s">
        <v>22</v>
      </c>
      <c r="F137" s="118" t="s">
        <v>116</v>
      </c>
    </row>
    <row r="138" spans="1:6" x14ac:dyDescent="0.35">
      <c r="A138" t="s">
        <v>75</v>
      </c>
      <c r="B138" t="s">
        <v>76</v>
      </c>
      <c r="C138" t="s">
        <v>25</v>
      </c>
      <c r="D138" s="16" t="s">
        <v>1091</v>
      </c>
      <c r="E138" s="16" t="s">
        <v>434</v>
      </c>
      <c r="F138" s="118" t="s">
        <v>116</v>
      </c>
    </row>
    <row r="139" spans="1:6" x14ac:dyDescent="0.35">
      <c r="A139" t="s">
        <v>298</v>
      </c>
      <c r="B139" t="s">
        <v>1077</v>
      </c>
      <c r="C139" t="s">
        <v>25</v>
      </c>
      <c r="D139" s="16" t="s">
        <v>1091</v>
      </c>
      <c r="E139" s="16" t="s">
        <v>434</v>
      </c>
      <c r="F139" s="118" t="s">
        <v>116</v>
      </c>
    </row>
    <row r="140" spans="1:6" x14ac:dyDescent="0.35">
      <c r="A140" t="s">
        <v>297</v>
      </c>
      <c r="B140" t="s">
        <v>1076</v>
      </c>
      <c r="C140" t="s">
        <v>25</v>
      </c>
      <c r="D140" s="16" t="s">
        <v>1091</v>
      </c>
      <c r="E140" s="16" t="s">
        <v>434</v>
      </c>
      <c r="F140" s="118" t="s">
        <v>116</v>
      </c>
    </row>
    <row r="141" spans="1:6" x14ac:dyDescent="0.35">
      <c r="A141" t="s">
        <v>295</v>
      </c>
      <c r="B141" t="s">
        <v>296</v>
      </c>
      <c r="C141" t="s">
        <v>25</v>
      </c>
      <c r="D141" s="16" t="s">
        <v>1091</v>
      </c>
      <c r="E141" s="16" t="s">
        <v>434</v>
      </c>
      <c r="F141" s="118" t="s">
        <v>116</v>
      </c>
    </row>
    <row r="142" spans="1:6" x14ac:dyDescent="0.35">
      <c r="A142" t="s">
        <v>293</v>
      </c>
      <c r="B142" t="s">
        <v>294</v>
      </c>
      <c r="C142" t="s">
        <v>25</v>
      </c>
      <c r="D142" s="16" t="s">
        <v>1091</v>
      </c>
      <c r="E142" s="16" t="s">
        <v>445</v>
      </c>
      <c r="F142" s="118" t="s">
        <v>116</v>
      </c>
    </row>
    <row r="143" spans="1:6" x14ac:dyDescent="0.35">
      <c r="A143" t="s">
        <v>291</v>
      </c>
      <c r="B143" t="s">
        <v>292</v>
      </c>
      <c r="C143" t="s">
        <v>4</v>
      </c>
      <c r="D143" s="16" t="s">
        <v>1092</v>
      </c>
      <c r="E143" s="16" t="s">
        <v>22</v>
      </c>
      <c r="F143" s="118" t="s">
        <v>116</v>
      </c>
    </row>
    <row r="144" spans="1:6" x14ac:dyDescent="0.35">
      <c r="A144" t="s">
        <v>289</v>
      </c>
      <c r="B144" t="s">
        <v>290</v>
      </c>
      <c r="C144" t="s">
        <v>8</v>
      </c>
      <c r="D144" s="16" t="s">
        <v>1090</v>
      </c>
      <c r="E144" s="16" t="s">
        <v>22</v>
      </c>
      <c r="F144" s="118" t="s">
        <v>116</v>
      </c>
    </row>
    <row r="145" spans="1:6" x14ac:dyDescent="0.35">
      <c r="A145" t="s">
        <v>287</v>
      </c>
      <c r="B145" t="s">
        <v>288</v>
      </c>
      <c r="C145" t="s">
        <v>21</v>
      </c>
      <c r="D145" s="16" t="s">
        <v>519</v>
      </c>
      <c r="E145" s="16" t="s">
        <v>121</v>
      </c>
      <c r="F145" s="118" t="s">
        <v>121</v>
      </c>
    </row>
    <row r="146" spans="1:6" x14ac:dyDescent="0.35">
      <c r="A146" t="s">
        <v>285</v>
      </c>
      <c r="B146" t="s">
        <v>286</v>
      </c>
      <c r="C146" t="s">
        <v>21</v>
      </c>
      <c r="D146" s="16" t="s">
        <v>519</v>
      </c>
      <c r="E146" s="16" t="s">
        <v>22</v>
      </c>
      <c r="F146" s="118" t="s">
        <v>22</v>
      </c>
    </row>
    <row r="147" spans="1:6" x14ac:dyDescent="0.35">
      <c r="A147" t="s">
        <v>283</v>
      </c>
      <c r="B147" t="s">
        <v>284</v>
      </c>
      <c r="C147" t="s">
        <v>4</v>
      </c>
      <c r="D147" s="16" t="s">
        <v>1092</v>
      </c>
      <c r="E147" s="16" t="s">
        <v>22</v>
      </c>
      <c r="F147" s="118" t="s">
        <v>22</v>
      </c>
    </row>
    <row r="148" spans="1:6" x14ac:dyDescent="0.35">
      <c r="A148" t="s">
        <v>281</v>
      </c>
      <c r="B148" t="s">
        <v>282</v>
      </c>
      <c r="C148" t="s">
        <v>8</v>
      </c>
      <c r="D148" s="16" t="s">
        <v>1090</v>
      </c>
      <c r="E148" s="16" t="s">
        <v>434</v>
      </c>
      <c r="F148" s="118" t="s">
        <v>116</v>
      </c>
    </row>
    <row r="149" spans="1:6" x14ac:dyDescent="0.35">
      <c r="A149" t="s">
        <v>279</v>
      </c>
      <c r="B149" t="s">
        <v>280</v>
      </c>
      <c r="C149" t="s">
        <v>8</v>
      </c>
      <c r="D149" s="16" t="s">
        <v>1090</v>
      </c>
      <c r="E149" s="16" t="s">
        <v>445</v>
      </c>
      <c r="F149" s="118" t="s">
        <v>445</v>
      </c>
    </row>
    <row r="150" spans="1:6" x14ac:dyDescent="0.35">
      <c r="A150" t="s">
        <v>278</v>
      </c>
      <c r="B150" t="s">
        <v>348</v>
      </c>
      <c r="C150" t="s">
        <v>21</v>
      </c>
      <c r="D150" s="16" t="s">
        <v>519</v>
      </c>
      <c r="E150" s="16" t="s">
        <v>1075</v>
      </c>
      <c r="F150" s="118" t="s">
        <v>1075</v>
      </c>
    </row>
    <row r="151" spans="1:6" x14ac:dyDescent="0.35">
      <c r="A151" t="s">
        <v>276</v>
      </c>
      <c r="B151" t="s">
        <v>277</v>
      </c>
      <c r="C151" t="s">
        <v>25</v>
      </c>
      <c r="D151" s="16" t="s">
        <v>1091</v>
      </c>
      <c r="E151" s="16" t="s">
        <v>22</v>
      </c>
      <c r="F151" s="118" t="s">
        <v>116</v>
      </c>
    </row>
    <row r="152" spans="1:6" x14ac:dyDescent="0.35">
      <c r="A152" t="s">
        <v>274</v>
      </c>
      <c r="B152" t="s">
        <v>275</v>
      </c>
      <c r="C152" t="s">
        <v>25</v>
      </c>
      <c r="D152" s="16" t="s">
        <v>1091</v>
      </c>
      <c r="E152" s="16" t="s">
        <v>22</v>
      </c>
      <c r="F152" s="118" t="s">
        <v>116</v>
      </c>
    </row>
    <row r="153" spans="1:6" x14ac:dyDescent="0.35">
      <c r="A153" t="s">
        <v>272</v>
      </c>
      <c r="B153" t="s">
        <v>273</v>
      </c>
      <c r="C153" t="s">
        <v>25</v>
      </c>
      <c r="D153" s="16" t="s">
        <v>1091</v>
      </c>
      <c r="E153" s="16" t="s">
        <v>22</v>
      </c>
      <c r="F153" s="118" t="s">
        <v>116</v>
      </c>
    </row>
    <row r="154" spans="1:6" x14ac:dyDescent="0.35">
      <c r="A154" t="s">
        <v>269</v>
      </c>
      <c r="B154" t="s">
        <v>270</v>
      </c>
      <c r="C154" t="s">
        <v>25</v>
      </c>
      <c r="D154" s="16" t="s">
        <v>1091</v>
      </c>
      <c r="E154" s="16" t="s">
        <v>22</v>
      </c>
      <c r="F154" s="118" t="s">
        <v>116</v>
      </c>
    </row>
    <row r="155" spans="1:6" x14ac:dyDescent="0.35">
      <c r="A155" t="s">
        <v>337</v>
      </c>
      <c r="B155" t="s">
        <v>433</v>
      </c>
      <c r="C155" t="s">
        <v>12</v>
      </c>
      <c r="D155" s="16" t="s">
        <v>1098</v>
      </c>
      <c r="E155" s="16" t="s">
        <v>116</v>
      </c>
      <c r="F155" s="118" t="s">
        <v>116</v>
      </c>
    </row>
    <row r="156" spans="1:6" x14ac:dyDescent="0.35">
      <c r="A156" t="s">
        <v>336</v>
      </c>
      <c r="B156" t="s">
        <v>432</v>
      </c>
      <c r="C156" t="s">
        <v>12</v>
      </c>
      <c r="D156" s="16" t="s">
        <v>1093</v>
      </c>
      <c r="E156" s="16" t="s">
        <v>116</v>
      </c>
      <c r="F156" s="118" t="s">
        <v>116</v>
      </c>
    </row>
    <row r="157" spans="1:6" x14ac:dyDescent="0.35">
      <c r="A157" t="s">
        <v>334</v>
      </c>
      <c r="B157" t="s">
        <v>335</v>
      </c>
      <c r="C157" t="s">
        <v>21</v>
      </c>
      <c r="D157" s="16" t="s">
        <v>1097</v>
      </c>
      <c r="E157" s="16" t="s">
        <v>116</v>
      </c>
      <c r="F157" s="118" t="s">
        <v>116</v>
      </c>
    </row>
    <row r="158" spans="1:6" x14ac:dyDescent="0.35">
      <c r="A158" t="s">
        <v>333</v>
      </c>
      <c r="B158" t="s">
        <v>431</v>
      </c>
      <c r="C158" t="s">
        <v>4</v>
      </c>
      <c r="D158" s="16" t="s">
        <v>1094</v>
      </c>
      <c r="E158" s="16" t="s">
        <v>116</v>
      </c>
      <c r="F158" s="118" t="s">
        <v>116</v>
      </c>
    </row>
    <row r="159" spans="1:6" x14ac:dyDescent="0.35">
      <c r="A159" t="s">
        <v>331</v>
      </c>
      <c r="B159" t="s">
        <v>332</v>
      </c>
      <c r="C159" t="s">
        <v>4</v>
      </c>
      <c r="D159" s="16" t="s">
        <v>1094</v>
      </c>
      <c r="E159" s="16" t="s">
        <v>116</v>
      </c>
      <c r="F159" s="118" t="s">
        <v>116</v>
      </c>
    </row>
    <row r="160" spans="1:6" x14ac:dyDescent="0.35">
      <c r="A160" t="s">
        <v>329</v>
      </c>
      <c r="B160" t="s">
        <v>330</v>
      </c>
      <c r="C160" t="s">
        <v>8</v>
      </c>
      <c r="D160" s="16" t="s">
        <v>1094</v>
      </c>
      <c r="E160" s="16" t="s">
        <v>116</v>
      </c>
      <c r="F160" s="118" t="s">
        <v>116</v>
      </c>
    </row>
    <row r="161" spans="1:6" x14ac:dyDescent="0.35">
      <c r="A161" t="s">
        <v>327</v>
      </c>
      <c r="B161" t="s">
        <v>328</v>
      </c>
      <c r="C161" t="s">
        <v>21</v>
      </c>
      <c r="D161" s="16" t="s">
        <v>1094</v>
      </c>
      <c r="E161" s="16" t="s">
        <v>116</v>
      </c>
      <c r="F161" s="118" t="s">
        <v>116</v>
      </c>
    </row>
    <row r="162" spans="1:6" x14ac:dyDescent="0.35">
      <c r="A162" t="s">
        <v>325</v>
      </c>
      <c r="B162" t="s">
        <v>326</v>
      </c>
      <c r="C162" t="s">
        <v>12</v>
      </c>
      <c r="D162" s="16" t="s">
        <v>1095</v>
      </c>
      <c r="E162" s="16" t="s">
        <v>116</v>
      </c>
      <c r="F162" s="118" t="s">
        <v>116</v>
      </c>
    </row>
    <row r="163" spans="1:6" x14ac:dyDescent="0.35">
      <c r="A163" t="s">
        <v>323</v>
      </c>
      <c r="B163" t="s">
        <v>324</v>
      </c>
      <c r="C163" t="s">
        <v>12</v>
      </c>
      <c r="D163" s="16" t="s">
        <v>1095</v>
      </c>
      <c r="E163" s="16" t="s">
        <v>116</v>
      </c>
      <c r="F163" s="118" t="s">
        <v>116</v>
      </c>
    </row>
    <row r="164" spans="1:6" x14ac:dyDescent="0.35">
      <c r="A164" t="s">
        <v>321</v>
      </c>
      <c r="B164" t="s">
        <v>322</v>
      </c>
      <c r="C164" t="s">
        <v>18</v>
      </c>
      <c r="D164" s="16" t="s">
        <v>1096</v>
      </c>
      <c r="E164" s="16" t="s">
        <v>116</v>
      </c>
      <c r="F164" s="118" t="s">
        <v>116</v>
      </c>
    </row>
    <row r="165" spans="1:6" x14ac:dyDescent="0.35">
      <c r="A165" t="s">
        <v>319</v>
      </c>
      <c r="B165" t="s">
        <v>320</v>
      </c>
      <c r="C165" t="s">
        <v>12</v>
      </c>
      <c r="D165" s="16" t="s">
        <v>1100</v>
      </c>
      <c r="E165" s="16" t="s">
        <v>116</v>
      </c>
      <c r="F165" s="118" t="s">
        <v>116</v>
      </c>
    </row>
    <row r="166" spans="1:6" x14ac:dyDescent="0.35">
      <c r="A166" t="s">
        <v>317</v>
      </c>
      <c r="B166" t="s">
        <v>318</v>
      </c>
      <c r="C166" t="s">
        <v>21</v>
      </c>
      <c r="D166" s="16" t="s">
        <v>519</v>
      </c>
      <c r="E166" s="16" t="s">
        <v>116</v>
      </c>
      <c r="F166" s="118" t="s">
        <v>116</v>
      </c>
    </row>
    <row r="167" spans="1:6" x14ac:dyDescent="0.35">
      <c r="A167" t="s">
        <v>315</v>
      </c>
      <c r="B167" t="s">
        <v>316</v>
      </c>
      <c r="C167" t="s">
        <v>4</v>
      </c>
      <c r="D167" s="16" t="s">
        <v>1092</v>
      </c>
      <c r="E167" s="16" t="s">
        <v>445</v>
      </c>
      <c r="F167" s="118" t="s">
        <v>445</v>
      </c>
    </row>
    <row r="168" spans="1:6" x14ac:dyDescent="0.35">
      <c r="A168" t="s">
        <v>313</v>
      </c>
      <c r="B168" t="s">
        <v>314</v>
      </c>
      <c r="C168" t="s">
        <v>4</v>
      </c>
      <c r="D168" s="16" t="s">
        <v>1092</v>
      </c>
      <c r="E168" s="16" t="s">
        <v>116</v>
      </c>
      <c r="F168" s="118" t="s">
        <v>116</v>
      </c>
    </row>
    <row r="169" spans="1:6" x14ac:dyDescent="0.35">
      <c r="A169" t="s">
        <v>311</v>
      </c>
      <c r="B169" t="s">
        <v>312</v>
      </c>
      <c r="C169" t="s">
        <v>4</v>
      </c>
      <c r="D169" s="16" t="s">
        <v>1092</v>
      </c>
      <c r="E169" s="16" t="s">
        <v>116</v>
      </c>
      <c r="F169" s="118" t="s">
        <v>116</v>
      </c>
    </row>
    <row r="170" spans="1:6" x14ac:dyDescent="0.35">
      <c r="A170" t="s">
        <v>309</v>
      </c>
      <c r="B170" t="s">
        <v>310</v>
      </c>
      <c r="C170" t="s">
        <v>4</v>
      </c>
      <c r="D170" s="16" t="s">
        <v>1092</v>
      </c>
      <c r="E170" s="16" t="s">
        <v>116</v>
      </c>
      <c r="F170" s="118" t="s">
        <v>116</v>
      </c>
    </row>
    <row r="171" spans="1:6" x14ac:dyDescent="0.35">
      <c r="A171" t="s">
        <v>339</v>
      </c>
      <c r="B171" t="s">
        <v>338</v>
      </c>
      <c r="C171" t="s">
        <v>4</v>
      </c>
      <c r="D171" s="16" t="s">
        <v>1092</v>
      </c>
      <c r="E171" s="16" t="s">
        <v>116</v>
      </c>
      <c r="F171" s="118" t="s">
        <v>116</v>
      </c>
    </row>
    <row r="172" spans="1:6" x14ac:dyDescent="0.35">
      <c r="A172" t="s">
        <v>307</v>
      </c>
      <c r="B172" t="s">
        <v>308</v>
      </c>
      <c r="C172" t="s">
        <v>4</v>
      </c>
      <c r="D172" s="16" t="s">
        <v>1092</v>
      </c>
      <c r="E172" s="16" t="s">
        <v>445</v>
      </c>
      <c r="F172" s="118" t="s">
        <v>445</v>
      </c>
    </row>
    <row r="173" spans="1:6" x14ac:dyDescent="0.35">
      <c r="A173" t="s">
        <v>305</v>
      </c>
      <c r="B173" t="s">
        <v>306</v>
      </c>
      <c r="C173" t="s">
        <v>4</v>
      </c>
      <c r="D173" s="16" t="s">
        <v>1092</v>
      </c>
      <c r="E173" s="16" t="s">
        <v>22</v>
      </c>
      <c r="F173" s="118" t="s">
        <v>22</v>
      </c>
    </row>
    <row r="174" spans="1:6" x14ac:dyDescent="0.35">
      <c r="A174" t="s">
        <v>303</v>
      </c>
      <c r="B174" t="s">
        <v>304</v>
      </c>
      <c r="C174" t="s">
        <v>4</v>
      </c>
      <c r="D174" s="16" t="s">
        <v>1092</v>
      </c>
      <c r="E174" s="16" t="s">
        <v>116</v>
      </c>
      <c r="F174" s="118" t="s">
        <v>116</v>
      </c>
    </row>
    <row r="175" spans="1:6" x14ac:dyDescent="0.35">
      <c r="A175" t="s">
        <v>301</v>
      </c>
      <c r="B175" s="22" t="s">
        <v>302</v>
      </c>
      <c r="C175" t="s">
        <v>4</v>
      </c>
      <c r="D175" s="16" t="s">
        <v>1092</v>
      </c>
      <c r="E175" s="117" t="s">
        <v>445</v>
      </c>
      <c r="F175" s="118" t="s">
        <v>116</v>
      </c>
    </row>
    <row r="176" spans="1:6" x14ac:dyDescent="0.35">
      <c r="A176" t="s">
        <v>299</v>
      </c>
      <c r="B176" t="s">
        <v>300</v>
      </c>
      <c r="C176" t="s">
        <v>4</v>
      </c>
      <c r="D176" s="16" t="s">
        <v>1092</v>
      </c>
      <c r="E176" s="16" t="s">
        <v>116</v>
      </c>
      <c r="F176" s="118" t="s">
        <v>116</v>
      </c>
    </row>
    <row r="177" spans="1:6" x14ac:dyDescent="0.35">
      <c r="A177" t="s">
        <v>371</v>
      </c>
      <c r="B177" t="s">
        <v>372</v>
      </c>
      <c r="C177" t="s">
        <v>4</v>
      </c>
      <c r="D177" s="16" t="s">
        <v>1092</v>
      </c>
      <c r="E177" s="16" t="s">
        <v>22</v>
      </c>
      <c r="F177" s="118" t="s">
        <v>116</v>
      </c>
    </row>
    <row r="178" spans="1:6" x14ac:dyDescent="0.35">
      <c r="A178" t="s">
        <v>429</v>
      </c>
      <c r="B178" t="s">
        <v>430</v>
      </c>
      <c r="C178" t="s">
        <v>12</v>
      </c>
      <c r="D178" s="16" t="s">
        <v>1098</v>
      </c>
      <c r="E178" s="16" t="s">
        <v>116</v>
      </c>
      <c r="F178" s="118" t="s">
        <v>116</v>
      </c>
    </row>
    <row r="179" spans="1:6" x14ac:dyDescent="0.35">
      <c r="A179" t="s">
        <v>427</v>
      </c>
      <c r="B179" t="s">
        <v>428</v>
      </c>
      <c r="C179" t="s">
        <v>12</v>
      </c>
      <c r="D179" s="16" t="s">
        <v>1093</v>
      </c>
      <c r="E179" s="16" t="s">
        <v>116</v>
      </c>
      <c r="F179" s="118" t="s">
        <v>116</v>
      </c>
    </row>
    <row r="180" spans="1:6" x14ac:dyDescent="0.35">
      <c r="A180" t="s">
        <v>425</v>
      </c>
      <c r="B180" t="s">
        <v>426</v>
      </c>
      <c r="C180" t="s">
        <v>21</v>
      </c>
      <c r="D180" s="16" t="s">
        <v>1097</v>
      </c>
      <c r="E180" s="16" t="s">
        <v>116</v>
      </c>
      <c r="F180" s="118" t="s">
        <v>116</v>
      </c>
    </row>
    <row r="181" spans="1:6" x14ac:dyDescent="0.35">
      <c r="A181" t="s">
        <v>423</v>
      </c>
      <c r="B181" t="s">
        <v>424</v>
      </c>
      <c r="C181" t="s">
        <v>4</v>
      </c>
      <c r="D181" s="16" t="s">
        <v>1094</v>
      </c>
      <c r="E181" s="16" t="s">
        <v>116</v>
      </c>
      <c r="F181" s="118" t="s">
        <v>116</v>
      </c>
    </row>
    <row r="182" spans="1:6" x14ac:dyDescent="0.35">
      <c r="A182" t="s">
        <v>421</v>
      </c>
      <c r="B182" t="s">
        <v>422</v>
      </c>
      <c r="C182" t="s">
        <v>4</v>
      </c>
      <c r="D182" s="16" t="s">
        <v>1094</v>
      </c>
      <c r="E182" s="16" t="s">
        <v>116</v>
      </c>
      <c r="F182" s="118" t="s">
        <v>116</v>
      </c>
    </row>
    <row r="183" spans="1:6" x14ac:dyDescent="0.35">
      <c r="A183" t="s">
        <v>419</v>
      </c>
      <c r="B183" t="s">
        <v>420</v>
      </c>
      <c r="C183" t="s">
        <v>8</v>
      </c>
      <c r="D183" s="16" t="s">
        <v>1094</v>
      </c>
      <c r="E183" s="16" t="s">
        <v>116</v>
      </c>
      <c r="F183" s="118" t="s">
        <v>116</v>
      </c>
    </row>
    <row r="184" spans="1:6" x14ac:dyDescent="0.35">
      <c r="A184" t="s">
        <v>417</v>
      </c>
      <c r="B184" t="s">
        <v>418</v>
      </c>
      <c r="C184" t="s">
        <v>21</v>
      </c>
      <c r="D184" s="16" t="s">
        <v>1094</v>
      </c>
      <c r="E184" s="16" t="s">
        <v>116</v>
      </c>
      <c r="F184" s="118" t="s">
        <v>116</v>
      </c>
    </row>
    <row r="185" spans="1:6" x14ac:dyDescent="0.35">
      <c r="A185" t="s">
        <v>415</v>
      </c>
      <c r="B185" t="s">
        <v>416</v>
      </c>
      <c r="C185" t="s">
        <v>12</v>
      </c>
      <c r="D185" s="16" t="s">
        <v>1095</v>
      </c>
      <c r="E185" s="16" t="s">
        <v>116</v>
      </c>
      <c r="F185" s="118" t="s">
        <v>116</v>
      </c>
    </row>
    <row r="186" spans="1:6" x14ac:dyDescent="0.35">
      <c r="A186" t="s">
        <v>413</v>
      </c>
      <c r="B186" t="s">
        <v>414</v>
      </c>
      <c r="C186" t="s">
        <v>12</v>
      </c>
      <c r="D186" s="16" t="s">
        <v>1095</v>
      </c>
      <c r="E186" s="16" t="s">
        <v>116</v>
      </c>
      <c r="F186" s="118" t="s">
        <v>116</v>
      </c>
    </row>
    <row r="187" spans="1:6" x14ac:dyDescent="0.35">
      <c r="A187" t="s">
        <v>411</v>
      </c>
      <c r="B187" t="s">
        <v>412</v>
      </c>
      <c r="C187" t="s">
        <v>18</v>
      </c>
      <c r="D187" s="16" t="s">
        <v>1096</v>
      </c>
      <c r="E187" s="16" t="s">
        <v>116</v>
      </c>
      <c r="F187" s="118" t="s">
        <v>116</v>
      </c>
    </row>
    <row r="188" spans="1:6" x14ac:dyDescent="0.35">
      <c r="A188" t="s">
        <v>409</v>
      </c>
      <c r="B188" t="s">
        <v>410</v>
      </c>
      <c r="C188" t="s">
        <v>12</v>
      </c>
      <c r="D188" s="16" t="s">
        <v>1100</v>
      </c>
      <c r="E188" s="16" t="s">
        <v>116</v>
      </c>
      <c r="F188" s="118" t="s">
        <v>116</v>
      </c>
    </row>
    <row r="189" spans="1:6" x14ac:dyDescent="0.35">
      <c r="A189" t="s">
        <v>407</v>
      </c>
      <c r="B189" t="s">
        <v>408</v>
      </c>
      <c r="C189" t="s">
        <v>21</v>
      </c>
      <c r="D189" s="16" t="s">
        <v>519</v>
      </c>
      <c r="E189" s="16" t="s">
        <v>116</v>
      </c>
      <c r="F189" s="118" t="s">
        <v>116</v>
      </c>
    </row>
    <row r="190" spans="1:6" x14ac:dyDescent="0.35">
      <c r="A190" t="s">
        <v>405</v>
      </c>
      <c r="B190" t="s">
        <v>406</v>
      </c>
      <c r="C190" t="s">
        <v>12</v>
      </c>
      <c r="D190" s="16" t="s">
        <v>519</v>
      </c>
      <c r="E190" s="16" t="s">
        <v>121</v>
      </c>
      <c r="F190" s="118" t="s">
        <v>121</v>
      </c>
    </row>
    <row r="191" spans="1:6" x14ac:dyDescent="0.35">
      <c r="A191" t="s">
        <v>369</v>
      </c>
      <c r="B191" t="s">
        <v>370</v>
      </c>
      <c r="C191" t="s">
        <v>8</v>
      </c>
      <c r="D191" s="16" t="s">
        <v>1090</v>
      </c>
      <c r="E191" s="16" t="s">
        <v>22</v>
      </c>
      <c r="F191" s="118" t="s">
        <v>116</v>
      </c>
    </row>
    <row r="192" spans="1:6" x14ac:dyDescent="0.35">
      <c r="A192" t="s">
        <v>367</v>
      </c>
      <c r="B192" t="s">
        <v>368</v>
      </c>
      <c r="C192" t="s">
        <v>21</v>
      </c>
      <c r="D192" s="16" t="s">
        <v>519</v>
      </c>
      <c r="E192" s="16" t="s">
        <v>22</v>
      </c>
      <c r="F192" s="118" t="s">
        <v>116</v>
      </c>
    </row>
    <row r="193" spans="1:6" x14ac:dyDescent="0.35">
      <c r="A193" t="s">
        <v>366</v>
      </c>
      <c r="B193" t="s">
        <v>359</v>
      </c>
      <c r="C193" t="s">
        <v>4</v>
      </c>
      <c r="D193" s="16" t="s">
        <v>1092</v>
      </c>
      <c r="E193" s="16" t="s">
        <v>22</v>
      </c>
      <c r="F193" s="118" t="s">
        <v>116</v>
      </c>
    </row>
    <row r="194" spans="1:6" x14ac:dyDescent="0.35">
      <c r="A194" t="s">
        <v>364</v>
      </c>
      <c r="B194" t="s">
        <v>365</v>
      </c>
      <c r="C194" t="s">
        <v>8</v>
      </c>
      <c r="D194" s="16" t="s">
        <v>1090</v>
      </c>
      <c r="E194" s="16" t="s">
        <v>121</v>
      </c>
      <c r="F194" s="118" t="s">
        <v>121</v>
      </c>
    </row>
    <row r="195" spans="1:6" x14ac:dyDescent="0.35">
      <c r="A195" t="s">
        <v>362</v>
      </c>
      <c r="B195" t="s">
        <v>363</v>
      </c>
      <c r="C195" t="s">
        <v>21</v>
      </c>
      <c r="D195" s="16" t="s">
        <v>519</v>
      </c>
      <c r="E195" s="16" t="s">
        <v>22</v>
      </c>
      <c r="F195" s="118" t="s">
        <v>116</v>
      </c>
    </row>
    <row r="196" spans="1:6" x14ac:dyDescent="0.35">
      <c r="A196" t="s">
        <v>361</v>
      </c>
      <c r="B196" t="s">
        <v>404</v>
      </c>
      <c r="C196" t="s">
        <v>25</v>
      </c>
      <c r="D196" s="16" t="s">
        <v>1091</v>
      </c>
      <c r="E196" s="16" t="s">
        <v>22</v>
      </c>
      <c r="F196" s="118" t="s">
        <v>121</v>
      </c>
    </row>
    <row r="197" spans="1:6" x14ac:dyDescent="0.35">
      <c r="A197" t="s">
        <v>360</v>
      </c>
      <c r="B197" t="s">
        <v>514</v>
      </c>
      <c r="C197" t="s">
        <v>25</v>
      </c>
      <c r="D197" s="16" t="s">
        <v>1091</v>
      </c>
      <c r="E197" s="16" t="s">
        <v>22</v>
      </c>
      <c r="F197" s="118" t="s">
        <v>22</v>
      </c>
    </row>
    <row r="198" spans="1:6" x14ac:dyDescent="0.35">
      <c r="A198" t="s">
        <v>358</v>
      </c>
      <c r="B198" t="s">
        <v>359</v>
      </c>
      <c r="C198" t="s">
        <v>4</v>
      </c>
      <c r="D198" s="16" t="s">
        <v>1092</v>
      </c>
      <c r="E198" s="16" t="s">
        <v>434</v>
      </c>
      <c r="F198" s="118" t="s">
        <v>116</v>
      </c>
    </row>
    <row r="199" spans="1:6" x14ac:dyDescent="0.35">
      <c r="A199" t="s">
        <v>356</v>
      </c>
      <c r="B199" t="s">
        <v>357</v>
      </c>
      <c r="C199" t="s">
        <v>25</v>
      </c>
      <c r="D199" s="16" t="s">
        <v>1091</v>
      </c>
      <c r="E199" s="16" t="s">
        <v>22</v>
      </c>
      <c r="F199" s="118" t="s">
        <v>22</v>
      </c>
    </row>
    <row r="200" spans="1:6" x14ac:dyDescent="0.35">
      <c r="A200" t="s">
        <v>354</v>
      </c>
      <c r="B200" t="s">
        <v>355</v>
      </c>
      <c r="C200" t="s">
        <v>25</v>
      </c>
      <c r="D200" s="16" t="s">
        <v>1091</v>
      </c>
      <c r="E200" s="16" t="s">
        <v>22</v>
      </c>
      <c r="F200" s="118" t="s">
        <v>22</v>
      </c>
    </row>
    <row r="201" spans="1:6" x14ac:dyDescent="0.35">
      <c r="A201" t="s">
        <v>352</v>
      </c>
      <c r="B201" t="s">
        <v>353</v>
      </c>
      <c r="C201" t="s">
        <v>21</v>
      </c>
      <c r="D201" s="16" t="s">
        <v>519</v>
      </c>
      <c r="E201" s="16" t="s">
        <v>445</v>
      </c>
      <c r="F201" s="118" t="s">
        <v>445</v>
      </c>
    </row>
    <row r="202" spans="1:6" x14ac:dyDescent="0.35">
      <c r="A202" t="s">
        <v>350</v>
      </c>
      <c r="B202" t="s">
        <v>351</v>
      </c>
      <c r="C202" t="s">
        <v>25</v>
      </c>
      <c r="D202" s="16" t="s">
        <v>1091</v>
      </c>
      <c r="E202" s="16" t="s">
        <v>22</v>
      </c>
      <c r="F202" s="118" t="s">
        <v>116</v>
      </c>
    </row>
    <row r="203" spans="1:6" x14ac:dyDescent="0.35">
      <c r="A203" t="s">
        <v>402</v>
      </c>
      <c r="B203" t="s">
        <v>403</v>
      </c>
      <c r="C203" t="s">
        <v>18</v>
      </c>
      <c r="D203" s="16" t="s">
        <v>519</v>
      </c>
      <c r="E203" s="16" t="s">
        <v>22</v>
      </c>
      <c r="F203" s="118" t="s">
        <v>116</v>
      </c>
    </row>
    <row r="204" spans="1:6" x14ac:dyDescent="0.35">
      <c r="A204" t="s">
        <v>400</v>
      </c>
      <c r="B204" t="s">
        <v>401</v>
      </c>
      <c r="C204" t="s">
        <v>12</v>
      </c>
      <c r="D204" s="16" t="s">
        <v>1098</v>
      </c>
      <c r="E204" s="16" t="s">
        <v>116</v>
      </c>
      <c r="F204" s="118" t="s">
        <v>116</v>
      </c>
    </row>
    <row r="205" spans="1:6" x14ac:dyDescent="0.35">
      <c r="A205" t="s">
        <v>398</v>
      </c>
      <c r="B205" t="s">
        <v>399</v>
      </c>
      <c r="C205" t="s">
        <v>12</v>
      </c>
      <c r="D205" s="16" t="s">
        <v>1093</v>
      </c>
      <c r="E205" s="16" t="s">
        <v>116</v>
      </c>
      <c r="F205" s="118" t="s">
        <v>116</v>
      </c>
    </row>
    <row r="206" spans="1:6" x14ac:dyDescent="0.35">
      <c r="A206" t="s">
        <v>396</v>
      </c>
      <c r="B206" t="s">
        <v>397</v>
      </c>
      <c r="C206" t="s">
        <v>21</v>
      </c>
      <c r="D206" s="16" t="s">
        <v>1097</v>
      </c>
      <c r="E206" s="16" t="s">
        <v>116</v>
      </c>
      <c r="F206" s="118" t="s">
        <v>116</v>
      </c>
    </row>
    <row r="207" spans="1:6" x14ac:dyDescent="0.35">
      <c r="A207" t="s">
        <v>394</v>
      </c>
      <c r="B207" t="s">
        <v>395</v>
      </c>
      <c r="C207" t="s">
        <v>4</v>
      </c>
      <c r="D207" s="16" t="s">
        <v>1094</v>
      </c>
      <c r="E207" s="16" t="s">
        <v>116</v>
      </c>
      <c r="F207" s="118" t="s">
        <v>116</v>
      </c>
    </row>
    <row r="208" spans="1:6" x14ac:dyDescent="0.35">
      <c r="A208" t="s">
        <v>392</v>
      </c>
      <c r="B208" t="s">
        <v>393</v>
      </c>
      <c r="C208" t="s">
        <v>4</v>
      </c>
      <c r="D208" s="16" t="s">
        <v>1094</v>
      </c>
      <c r="E208" s="16" t="s">
        <v>116</v>
      </c>
      <c r="F208" s="118" t="s">
        <v>116</v>
      </c>
    </row>
    <row r="209" spans="1:6" x14ac:dyDescent="0.35">
      <c r="A209" t="s">
        <v>390</v>
      </c>
      <c r="B209" t="s">
        <v>391</v>
      </c>
      <c r="C209" t="s">
        <v>8</v>
      </c>
      <c r="D209" s="16" t="s">
        <v>1094</v>
      </c>
      <c r="E209" s="16" t="s">
        <v>116</v>
      </c>
      <c r="F209" s="118" t="s">
        <v>116</v>
      </c>
    </row>
    <row r="210" spans="1:6" x14ac:dyDescent="0.35">
      <c r="A210" t="s">
        <v>388</v>
      </c>
      <c r="B210" t="s">
        <v>389</v>
      </c>
      <c r="C210" t="s">
        <v>21</v>
      </c>
      <c r="D210" s="16" t="s">
        <v>1094</v>
      </c>
      <c r="E210" s="16" t="s">
        <v>116</v>
      </c>
      <c r="F210" s="118" t="s">
        <v>116</v>
      </c>
    </row>
    <row r="211" spans="1:6" x14ac:dyDescent="0.35">
      <c r="A211" t="s">
        <v>386</v>
      </c>
      <c r="B211" t="s">
        <v>387</v>
      </c>
      <c r="C211" t="s">
        <v>12</v>
      </c>
      <c r="D211" s="16" t="s">
        <v>1095</v>
      </c>
      <c r="E211" s="16" t="s">
        <v>116</v>
      </c>
      <c r="F211" s="118" t="s">
        <v>116</v>
      </c>
    </row>
    <row r="212" spans="1:6" x14ac:dyDescent="0.35">
      <c r="A212" t="s">
        <v>384</v>
      </c>
      <c r="B212" t="s">
        <v>385</v>
      </c>
      <c r="C212" t="s">
        <v>12</v>
      </c>
      <c r="D212" s="16" t="s">
        <v>1095</v>
      </c>
      <c r="E212" s="16" t="s">
        <v>116</v>
      </c>
      <c r="F212" s="118" t="s">
        <v>116</v>
      </c>
    </row>
    <row r="213" spans="1:6" x14ac:dyDescent="0.35">
      <c r="A213" t="s">
        <v>382</v>
      </c>
      <c r="B213" t="s">
        <v>383</v>
      </c>
      <c r="C213" t="s">
        <v>18</v>
      </c>
      <c r="D213" s="16" t="s">
        <v>1096</v>
      </c>
      <c r="E213" s="16" t="s">
        <v>116</v>
      </c>
      <c r="F213" s="118" t="s">
        <v>116</v>
      </c>
    </row>
    <row r="214" spans="1:6" x14ac:dyDescent="0.35">
      <c r="A214" t="s">
        <v>380</v>
      </c>
      <c r="B214" t="s">
        <v>381</v>
      </c>
      <c r="C214" t="s">
        <v>12</v>
      </c>
      <c r="D214" s="16" t="s">
        <v>1100</v>
      </c>
      <c r="E214" s="16" t="s">
        <v>116</v>
      </c>
      <c r="F214" s="118" t="s">
        <v>116</v>
      </c>
    </row>
    <row r="215" spans="1:6" x14ac:dyDescent="0.35">
      <c r="A215" t="s">
        <v>378</v>
      </c>
      <c r="B215" t="s">
        <v>379</v>
      </c>
      <c r="C215" t="s">
        <v>21</v>
      </c>
      <c r="D215" s="16" t="s">
        <v>519</v>
      </c>
      <c r="E215" s="16" t="s">
        <v>116</v>
      </c>
      <c r="F215" s="118" t="s">
        <v>116</v>
      </c>
    </row>
    <row r="216" spans="1:6" x14ac:dyDescent="0.35">
      <c r="A216" t="s">
        <v>512</v>
      </c>
      <c r="B216" t="s">
        <v>513</v>
      </c>
      <c r="C216" t="s">
        <v>12</v>
      </c>
      <c r="D216" s="16" t="s">
        <v>1098</v>
      </c>
      <c r="E216" s="16" t="s">
        <v>116</v>
      </c>
      <c r="F216" s="118" t="s">
        <v>116</v>
      </c>
    </row>
    <row r="217" spans="1:6" x14ac:dyDescent="0.35">
      <c r="A217" t="s">
        <v>510</v>
      </c>
      <c r="B217" t="s">
        <v>511</v>
      </c>
      <c r="C217" t="s">
        <v>12</v>
      </c>
      <c r="D217" s="16" t="s">
        <v>1093</v>
      </c>
      <c r="E217" s="16" t="s">
        <v>116</v>
      </c>
      <c r="F217" s="118" t="s">
        <v>116</v>
      </c>
    </row>
    <row r="218" spans="1:6" x14ac:dyDescent="0.35">
      <c r="A218" t="s">
        <v>508</v>
      </c>
      <c r="B218" t="s">
        <v>509</v>
      </c>
      <c r="C218" t="s">
        <v>21</v>
      </c>
      <c r="D218" s="16" t="s">
        <v>1097</v>
      </c>
      <c r="E218" s="16" t="s">
        <v>116</v>
      </c>
      <c r="F218" s="118" t="s">
        <v>116</v>
      </c>
    </row>
    <row r="219" spans="1:6" x14ac:dyDescent="0.35">
      <c r="A219" t="s">
        <v>506</v>
      </c>
      <c r="B219" t="s">
        <v>507</v>
      </c>
      <c r="C219" t="s">
        <v>4</v>
      </c>
      <c r="D219" s="16" t="s">
        <v>1094</v>
      </c>
      <c r="E219" s="16" t="s">
        <v>116</v>
      </c>
      <c r="F219" s="118" t="s">
        <v>116</v>
      </c>
    </row>
    <row r="220" spans="1:6" x14ac:dyDescent="0.35">
      <c r="A220" t="s">
        <v>504</v>
      </c>
      <c r="B220" t="s">
        <v>505</v>
      </c>
      <c r="C220" t="s">
        <v>4</v>
      </c>
      <c r="D220" s="16" t="s">
        <v>1094</v>
      </c>
      <c r="E220" s="16" t="s">
        <v>116</v>
      </c>
      <c r="F220" s="118" t="s">
        <v>116</v>
      </c>
    </row>
    <row r="221" spans="1:6" x14ac:dyDescent="0.35">
      <c r="A221" t="s">
        <v>502</v>
      </c>
      <c r="B221" t="s">
        <v>503</v>
      </c>
      <c r="C221" t="s">
        <v>8</v>
      </c>
      <c r="D221" s="16" t="s">
        <v>1094</v>
      </c>
      <c r="E221" s="16" t="s">
        <v>116</v>
      </c>
      <c r="F221" s="118" t="s">
        <v>116</v>
      </c>
    </row>
    <row r="222" spans="1:6" x14ac:dyDescent="0.35">
      <c r="A222" t="s">
        <v>500</v>
      </c>
      <c r="B222" t="s">
        <v>501</v>
      </c>
      <c r="C222" t="s">
        <v>21</v>
      </c>
      <c r="D222" s="16" t="s">
        <v>1094</v>
      </c>
      <c r="E222" s="16" t="s">
        <v>116</v>
      </c>
      <c r="F222" s="118" t="s">
        <v>116</v>
      </c>
    </row>
    <row r="223" spans="1:6" x14ac:dyDescent="0.35">
      <c r="A223" t="s">
        <v>498</v>
      </c>
      <c r="B223" t="s">
        <v>499</v>
      </c>
      <c r="C223" t="s">
        <v>12</v>
      </c>
      <c r="D223" s="16" t="s">
        <v>1095</v>
      </c>
      <c r="E223" s="16" t="s">
        <v>116</v>
      </c>
      <c r="F223" s="118" t="s">
        <v>116</v>
      </c>
    </row>
    <row r="224" spans="1:6" x14ac:dyDescent="0.35">
      <c r="A224" t="s">
        <v>496</v>
      </c>
      <c r="B224" t="s">
        <v>497</v>
      </c>
      <c r="C224" t="s">
        <v>12</v>
      </c>
      <c r="D224" s="16" t="s">
        <v>1095</v>
      </c>
      <c r="E224" s="16" t="s">
        <v>116</v>
      </c>
      <c r="F224" s="118" t="s">
        <v>116</v>
      </c>
    </row>
    <row r="225" spans="1:6" x14ac:dyDescent="0.35">
      <c r="A225" t="s">
        <v>494</v>
      </c>
      <c r="B225" t="s">
        <v>495</v>
      </c>
      <c r="C225" t="s">
        <v>18</v>
      </c>
      <c r="D225" s="16" t="s">
        <v>1096</v>
      </c>
      <c r="E225" s="16" t="s">
        <v>116</v>
      </c>
      <c r="F225" s="118" t="s">
        <v>116</v>
      </c>
    </row>
    <row r="226" spans="1:6" x14ac:dyDescent="0.35">
      <c r="A226" t="s">
        <v>492</v>
      </c>
      <c r="B226" t="s">
        <v>493</v>
      </c>
      <c r="C226" t="s">
        <v>12</v>
      </c>
      <c r="D226" s="16" t="s">
        <v>1100</v>
      </c>
      <c r="E226" s="16" t="s">
        <v>116</v>
      </c>
      <c r="F226" s="118" t="s">
        <v>116</v>
      </c>
    </row>
    <row r="227" spans="1:6" x14ac:dyDescent="0.35">
      <c r="A227" t="s">
        <v>490</v>
      </c>
      <c r="B227" t="s">
        <v>491</v>
      </c>
      <c r="C227" t="s">
        <v>21</v>
      </c>
      <c r="D227" s="16" t="s">
        <v>519</v>
      </c>
      <c r="E227" s="16" t="s">
        <v>116</v>
      </c>
      <c r="F227" s="118" t="s">
        <v>116</v>
      </c>
    </row>
    <row r="228" spans="1:6" x14ac:dyDescent="0.35">
      <c r="A228" t="s">
        <v>376</v>
      </c>
      <c r="B228" t="s">
        <v>377</v>
      </c>
      <c r="C228" t="s">
        <v>21</v>
      </c>
      <c r="D228" s="16" t="s">
        <v>519</v>
      </c>
      <c r="E228" s="16" t="s">
        <v>22</v>
      </c>
      <c r="F228" s="118" t="s">
        <v>116</v>
      </c>
    </row>
    <row r="229" spans="1:6" x14ac:dyDescent="0.35">
      <c r="A229" t="s">
        <v>375</v>
      </c>
      <c r="B229" t="s">
        <v>488</v>
      </c>
      <c r="C229" t="s">
        <v>8</v>
      </c>
      <c r="D229" s="16" t="s">
        <v>1090</v>
      </c>
      <c r="E229" s="16" t="s">
        <v>434</v>
      </c>
      <c r="F229" s="118" t="str">
        <f>E229</f>
        <v>Aguardando Aprovação da Revisão</v>
      </c>
    </row>
    <row r="230" spans="1:6" x14ac:dyDescent="0.35">
      <c r="A230" t="s">
        <v>374</v>
      </c>
      <c r="B230" t="s">
        <v>487</v>
      </c>
      <c r="C230" t="s">
        <v>4</v>
      </c>
      <c r="D230" s="16" t="s">
        <v>1092</v>
      </c>
      <c r="E230" s="16" t="s">
        <v>22</v>
      </c>
      <c r="F230" s="118" t="s">
        <v>22</v>
      </c>
    </row>
    <row r="231" spans="1:6" x14ac:dyDescent="0.35">
      <c r="A231" t="s">
        <v>485</v>
      </c>
      <c r="B231" t="s">
        <v>486</v>
      </c>
      <c r="C231" t="s">
        <v>21</v>
      </c>
      <c r="D231" s="16" t="s">
        <v>519</v>
      </c>
      <c r="E231" s="16" t="s">
        <v>22</v>
      </c>
      <c r="F231" s="118" t="s">
        <v>116</v>
      </c>
    </row>
    <row r="232" spans="1:6" x14ac:dyDescent="0.35">
      <c r="A232" t="s">
        <v>483</v>
      </c>
      <c r="B232" t="s">
        <v>484</v>
      </c>
      <c r="C232" t="s">
        <v>8</v>
      </c>
      <c r="D232" s="16" t="s">
        <v>1090</v>
      </c>
      <c r="E232" s="16" t="s">
        <v>116</v>
      </c>
      <c r="F232" s="118" t="s">
        <v>116</v>
      </c>
    </row>
    <row r="233" spans="1:6" x14ac:dyDescent="0.35">
      <c r="A233" t="s">
        <v>482</v>
      </c>
      <c r="B233" t="s">
        <v>1074</v>
      </c>
      <c r="C233" t="s">
        <v>25</v>
      </c>
      <c r="D233" s="16" t="s">
        <v>1091</v>
      </c>
      <c r="E233" s="16" t="s">
        <v>22</v>
      </c>
      <c r="F233" s="118" t="s">
        <v>116</v>
      </c>
    </row>
    <row r="234" spans="1:6" x14ac:dyDescent="0.35">
      <c r="A234" t="s">
        <v>480</v>
      </c>
      <c r="B234" t="s">
        <v>1073</v>
      </c>
      <c r="C234" t="s">
        <v>25</v>
      </c>
      <c r="D234" s="16" t="s">
        <v>1091</v>
      </c>
      <c r="E234" s="16" t="s">
        <v>271</v>
      </c>
      <c r="F234" s="118" t="str">
        <f>E234</f>
        <v>Aguardando Aprovação</v>
      </c>
    </row>
    <row r="235" spans="1:6" x14ac:dyDescent="0.35">
      <c r="A235" t="s">
        <v>478</v>
      </c>
      <c r="B235" t="s">
        <v>479</v>
      </c>
      <c r="C235" t="s">
        <v>12</v>
      </c>
      <c r="D235" s="16" t="s">
        <v>519</v>
      </c>
      <c r="E235" s="16" t="s">
        <v>121</v>
      </c>
      <c r="F235" s="118" t="s">
        <v>121</v>
      </c>
    </row>
    <row r="236" spans="1:6" x14ac:dyDescent="0.35">
      <c r="A236" t="s">
        <v>476</v>
      </c>
      <c r="B236" t="s">
        <v>477</v>
      </c>
      <c r="C236" t="s">
        <v>8</v>
      </c>
      <c r="D236" s="16" t="s">
        <v>1090</v>
      </c>
      <c r="E236" s="16" t="s">
        <v>445</v>
      </c>
      <c r="F236" s="118" t="s">
        <v>445</v>
      </c>
    </row>
    <row r="237" spans="1:6" x14ac:dyDescent="0.35">
      <c r="A237" t="s">
        <v>474</v>
      </c>
      <c r="B237" t="s">
        <v>475</v>
      </c>
      <c r="C237" t="s">
        <v>8</v>
      </c>
      <c r="D237" s="16" t="s">
        <v>1090</v>
      </c>
      <c r="E237" s="16" t="s">
        <v>22</v>
      </c>
      <c r="F237" s="118" t="s">
        <v>116</v>
      </c>
    </row>
    <row r="238" spans="1:6" x14ac:dyDescent="0.35">
      <c r="A238" t="s">
        <v>472</v>
      </c>
      <c r="B238" t="s">
        <v>473</v>
      </c>
      <c r="C238" t="s">
        <v>21</v>
      </c>
      <c r="D238" s="16" t="s">
        <v>519</v>
      </c>
      <c r="E238" s="16" t="s">
        <v>22</v>
      </c>
      <c r="F238" s="118" t="s">
        <v>22</v>
      </c>
    </row>
    <row r="239" spans="1:6" x14ac:dyDescent="0.35">
      <c r="A239" t="s">
        <v>470</v>
      </c>
      <c r="B239" t="s">
        <v>1072</v>
      </c>
      <c r="C239" t="s">
        <v>21</v>
      </c>
      <c r="D239" s="16" t="s">
        <v>519</v>
      </c>
      <c r="E239" s="16" t="s">
        <v>22</v>
      </c>
      <c r="F239" s="118" t="s">
        <v>22</v>
      </c>
    </row>
    <row r="240" spans="1:6" x14ac:dyDescent="0.35">
      <c r="A240" t="s">
        <v>468</v>
      </c>
      <c r="B240" t="s">
        <v>469</v>
      </c>
      <c r="C240" t="s">
        <v>21</v>
      </c>
      <c r="D240" s="16" t="s">
        <v>519</v>
      </c>
      <c r="E240" s="16" t="s">
        <v>22</v>
      </c>
      <c r="F240" s="118" t="s">
        <v>116</v>
      </c>
    </row>
    <row r="241" spans="1:6" x14ac:dyDescent="0.35">
      <c r="A241" t="s">
        <v>466</v>
      </c>
      <c r="B241" t="s">
        <v>467</v>
      </c>
      <c r="C241" t="s">
        <v>8</v>
      </c>
      <c r="D241" s="16" t="s">
        <v>1090</v>
      </c>
      <c r="E241" s="16" t="s">
        <v>22</v>
      </c>
      <c r="F241" s="118" t="s">
        <v>22</v>
      </c>
    </row>
    <row r="242" spans="1:6" x14ac:dyDescent="0.35">
      <c r="A242" t="s">
        <v>465</v>
      </c>
      <c r="B242" t="s">
        <v>1071</v>
      </c>
      <c r="C242" t="s">
        <v>21</v>
      </c>
      <c r="D242" s="16" t="s">
        <v>519</v>
      </c>
      <c r="E242" s="16" t="s">
        <v>434</v>
      </c>
      <c r="F242" s="118" t="str">
        <f>E242</f>
        <v>Aguardando Aprovação da Revisão</v>
      </c>
    </row>
    <row r="243" spans="1:6" x14ac:dyDescent="0.35">
      <c r="A243" t="s">
        <v>463</v>
      </c>
      <c r="B243" t="s">
        <v>464</v>
      </c>
      <c r="C243" t="s">
        <v>21</v>
      </c>
      <c r="D243" s="16" t="s">
        <v>519</v>
      </c>
      <c r="E243" s="16" t="s">
        <v>5</v>
      </c>
      <c r="F243" s="118" t="s">
        <v>116</v>
      </c>
    </row>
    <row r="244" spans="1:6" x14ac:dyDescent="0.35">
      <c r="A244" t="s">
        <v>461</v>
      </c>
      <c r="B244" t="s">
        <v>462</v>
      </c>
      <c r="C244" t="s">
        <v>21</v>
      </c>
      <c r="D244" s="16" t="s">
        <v>519</v>
      </c>
      <c r="E244" s="16" t="s">
        <v>121</v>
      </c>
      <c r="F244" s="118" t="s">
        <v>121</v>
      </c>
    </row>
    <row r="245" spans="1:6" x14ac:dyDescent="0.35">
      <c r="A245" t="s">
        <v>535</v>
      </c>
      <c r="B245" t="s">
        <v>536</v>
      </c>
      <c r="C245" t="s">
        <v>21</v>
      </c>
      <c r="D245" s="16" t="s">
        <v>519</v>
      </c>
      <c r="E245" s="16" t="s">
        <v>22</v>
      </c>
      <c r="F245" s="118" t="s">
        <v>22</v>
      </c>
    </row>
    <row r="246" spans="1:6" x14ac:dyDescent="0.35">
      <c r="A246" t="s">
        <v>537</v>
      </c>
      <c r="B246" t="s">
        <v>538</v>
      </c>
      <c r="C246" t="s">
        <v>25</v>
      </c>
      <c r="D246" s="16" t="s">
        <v>1091</v>
      </c>
      <c r="E246" s="16" t="s">
        <v>22</v>
      </c>
      <c r="F246" s="118" t="s">
        <v>22</v>
      </c>
    </row>
    <row r="247" spans="1:6" x14ac:dyDescent="0.35">
      <c r="A247" t="s">
        <v>1069</v>
      </c>
      <c r="B247" t="s">
        <v>1070</v>
      </c>
      <c r="C247" t="s">
        <v>12</v>
      </c>
      <c r="D247" s="16" t="s">
        <v>1098</v>
      </c>
      <c r="E247" s="16" t="s">
        <v>116</v>
      </c>
      <c r="F247" s="118" t="s">
        <v>116</v>
      </c>
    </row>
    <row r="248" spans="1:6" x14ac:dyDescent="0.35">
      <c r="A248" t="s">
        <v>1067</v>
      </c>
      <c r="B248" t="s">
        <v>1068</v>
      </c>
      <c r="C248" t="s">
        <v>12</v>
      </c>
      <c r="D248" s="16" t="s">
        <v>1093</v>
      </c>
      <c r="E248" s="16" t="s">
        <v>116</v>
      </c>
      <c r="F248" s="118" t="s">
        <v>116</v>
      </c>
    </row>
    <row r="249" spans="1:6" x14ac:dyDescent="0.35">
      <c r="A249" t="s">
        <v>1065</v>
      </c>
      <c r="B249" t="s">
        <v>1066</v>
      </c>
      <c r="C249" t="s">
        <v>21</v>
      </c>
      <c r="D249" s="16" t="s">
        <v>1097</v>
      </c>
      <c r="E249" s="16" t="s">
        <v>116</v>
      </c>
      <c r="F249" s="118" t="s">
        <v>116</v>
      </c>
    </row>
    <row r="250" spans="1:6" x14ac:dyDescent="0.35">
      <c r="A250" t="s">
        <v>1063</v>
      </c>
      <c r="B250" t="s">
        <v>1064</v>
      </c>
      <c r="C250" t="s">
        <v>4</v>
      </c>
      <c r="D250" s="16" t="s">
        <v>1094</v>
      </c>
      <c r="E250" s="16" t="s">
        <v>116</v>
      </c>
      <c r="F250" s="118" t="s">
        <v>116</v>
      </c>
    </row>
    <row r="251" spans="1:6" x14ac:dyDescent="0.35">
      <c r="A251" t="s">
        <v>539</v>
      </c>
      <c r="B251" t="s">
        <v>540</v>
      </c>
      <c r="C251" t="s">
        <v>4</v>
      </c>
      <c r="D251" s="16" t="s">
        <v>1092</v>
      </c>
      <c r="E251" s="16" t="s">
        <v>22</v>
      </c>
      <c r="F251" s="118" t="s">
        <v>22</v>
      </c>
    </row>
    <row r="252" spans="1:6" x14ac:dyDescent="0.35">
      <c r="A252" t="s">
        <v>1061</v>
      </c>
      <c r="B252" t="s">
        <v>1062</v>
      </c>
      <c r="C252" t="s">
        <v>4</v>
      </c>
      <c r="D252" s="16" t="s">
        <v>1094</v>
      </c>
      <c r="E252" s="16" t="s">
        <v>116</v>
      </c>
      <c r="F252" s="118" t="s">
        <v>116</v>
      </c>
    </row>
    <row r="253" spans="1:6" x14ac:dyDescent="0.35">
      <c r="A253" t="s">
        <v>541</v>
      </c>
      <c r="B253" t="s">
        <v>542</v>
      </c>
      <c r="C253" t="s">
        <v>25</v>
      </c>
      <c r="D253" s="16" t="s">
        <v>1091</v>
      </c>
      <c r="E253" s="16" t="s">
        <v>22</v>
      </c>
      <c r="F253" s="118" t="s">
        <v>22</v>
      </c>
    </row>
    <row r="254" spans="1:6" x14ac:dyDescent="0.35">
      <c r="A254" t="s">
        <v>1059</v>
      </c>
      <c r="B254" t="s">
        <v>1060</v>
      </c>
      <c r="C254" t="s">
        <v>8</v>
      </c>
      <c r="D254" s="16" t="s">
        <v>1094</v>
      </c>
      <c r="E254" s="16" t="s">
        <v>116</v>
      </c>
      <c r="F254" s="118" t="s">
        <v>116</v>
      </c>
    </row>
    <row r="255" spans="1:6" x14ac:dyDescent="0.35">
      <c r="A255" t="s">
        <v>1057</v>
      </c>
      <c r="B255" t="s">
        <v>1058</v>
      </c>
      <c r="C255" t="s">
        <v>21</v>
      </c>
      <c r="D255" s="16" t="s">
        <v>1094</v>
      </c>
      <c r="E255" s="16" t="s">
        <v>116</v>
      </c>
      <c r="F255" s="118" t="s">
        <v>116</v>
      </c>
    </row>
    <row r="256" spans="1:6" x14ac:dyDescent="0.35">
      <c r="A256" t="s">
        <v>1055</v>
      </c>
      <c r="B256" t="s">
        <v>1056</v>
      </c>
      <c r="C256" t="s">
        <v>12</v>
      </c>
      <c r="D256" s="16" t="s">
        <v>1095</v>
      </c>
      <c r="E256" s="16" t="s">
        <v>116</v>
      </c>
      <c r="F256" s="118" t="s">
        <v>116</v>
      </c>
    </row>
    <row r="257" spans="1:6" x14ac:dyDescent="0.35">
      <c r="A257" t="s">
        <v>1053</v>
      </c>
      <c r="B257" t="s">
        <v>1054</v>
      </c>
      <c r="C257" t="s">
        <v>12</v>
      </c>
      <c r="D257" s="16" t="s">
        <v>1095</v>
      </c>
      <c r="E257" s="16" t="s">
        <v>116</v>
      </c>
      <c r="F257" s="118" t="s">
        <v>116</v>
      </c>
    </row>
    <row r="258" spans="1:6" x14ac:dyDescent="0.35">
      <c r="A258" t="s">
        <v>1051</v>
      </c>
      <c r="B258" t="s">
        <v>1052</v>
      </c>
      <c r="C258" t="s">
        <v>18</v>
      </c>
      <c r="D258" s="16" t="s">
        <v>1096</v>
      </c>
      <c r="E258" s="16" t="s">
        <v>116</v>
      </c>
      <c r="F258" s="118" t="s">
        <v>116</v>
      </c>
    </row>
    <row r="259" spans="1:6" x14ac:dyDescent="0.35">
      <c r="A259" t="s">
        <v>1049</v>
      </c>
      <c r="B259" t="s">
        <v>1050</v>
      </c>
      <c r="C259" t="s">
        <v>12</v>
      </c>
      <c r="D259" s="16" t="s">
        <v>1100</v>
      </c>
      <c r="E259" s="16" t="s">
        <v>116</v>
      </c>
      <c r="F259" s="118" t="s">
        <v>116</v>
      </c>
    </row>
    <row r="260" spans="1:6" x14ac:dyDescent="0.35">
      <c r="A260" t="s">
        <v>1047</v>
      </c>
      <c r="B260" t="s">
        <v>1048</v>
      </c>
      <c r="C260" t="s">
        <v>21</v>
      </c>
      <c r="D260" s="16" t="s">
        <v>519</v>
      </c>
      <c r="E260" s="16" t="s">
        <v>116</v>
      </c>
      <c r="F260" s="118" t="s">
        <v>116</v>
      </c>
    </row>
    <row r="261" spans="1:6" x14ac:dyDescent="0.35">
      <c r="A261" t="s">
        <v>1045</v>
      </c>
      <c r="B261" t="s">
        <v>1046</v>
      </c>
      <c r="C261" t="s">
        <v>12</v>
      </c>
      <c r="D261" s="16" t="s">
        <v>1098</v>
      </c>
      <c r="E261" s="16" t="s">
        <v>116</v>
      </c>
      <c r="F261" s="118" t="s">
        <v>116</v>
      </c>
    </row>
    <row r="262" spans="1:6" x14ac:dyDescent="0.35">
      <c r="A262" t="s">
        <v>1043</v>
      </c>
      <c r="B262" t="s">
        <v>1044</v>
      </c>
      <c r="C262" t="s">
        <v>12</v>
      </c>
      <c r="D262" s="16" t="s">
        <v>1093</v>
      </c>
      <c r="E262" s="16" t="s">
        <v>116</v>
      </c>
      <c r="F262" s="118" t="s">
        <v>116</v>
      </c>
    </row>
    <row r="263" spans="1:6" x14ac:dyDescent="0.35">
      <c r="A263" t="s">
        <v>1041</v>
      </c>
      <c r="B263" t="s">
        <v>1042</v>
      </c>
      <c r="C263" t="s">
        <v>21</v>
      </c>
      <c r="D263" s="16" t="s">
        <v>1097</v>
      </c>
      <c r="E263" s="16" t="s">
        <v>116</v>
      </c>
      <c r="F263" s="118" t="s">
        <v>116</v>
      </c>
    </row>
    <row r="264" spans="1:6" x14ac:dyDescent="0.35">
      <c r="A264" t="s">
        <v>1039</v>
      </c>
      <c r="B264" t="s">
        <v>1040</v>
      </c>
      <c r="C264" t="s">
        <v>4</v>
      </c>
      <c r="D264" s="16" t="s">
        <v>1094</v>
      </c>
      <c r="E264" s="16" t="s">
        <v>116</v>
      </c>
      <c r="F264" s="118" t="s">
        <v>116</v>
      </c>
    </row>
    <row r="265" spans="1:6" x14ac:dyDescent="0.35">
      <c r="A265" t="s">
        <v>1037</v>
      </c>
      <c r="B265" t="s">
        <v>1038</v>
      </c>
      <c r="C265" t="s">
        <v>4</v>
      </c>
      <c r="D265" s="16" t="s">
        <v>1094</v>
      </c>
      <c r="E265" s="16" t="s">
        <v>116</v>
      </c>
      <c r="F265" s="118" t="s">
        <v>116</v>
      </c>
    </row>
    <row r="266" spans="1:6" x14ac:dyDescent="0.35">
      <c r="A266" t="s">
        <v>1035</v>
      </c>
      <c r="B266" t="s">
        <v>1036</v>
      </c>
      <c r="C266" t="s">
        <v>8</v>
      </c>
      <c r="D266" s="16" t="s">
        <v>1094</v>
      </c>
      <c r="E266" s="16" t="s">
        <v>116</v>
      </c>
      <c r="F266" s="118" t="s">
        <v>116</v>
      </c>
    </row>
    <row r="267" spans="1:6" x14ac:dyDescent="0.35">
      <c r="A267" t="s">
        <v>1033</v>
      </c>
      <c r="B267" t="s">
        <v>1034</v>
      </c>
      <c r="C267" t="s">
        <v>21</v>
      </c>
      <c r="D267" s="16" t="s">
        <v>1094</v>
      </c>
      <c r="E267" s="16" t="s">
        <v>116</v>
      </c>
      <c r="F267" s="118" t="s">
        <v>116</v>
      </c>
    </row>
    <row r="268" spans="1:6" x14ac:dyDescent="0.35">
      <c r="A268" t="s">
        <v>1031</v>
      </c>
      <c r="B268" t="s">
        <v>1032</v>
      </c>
      <c r="C268" t="s">
        <v>12</v>
      </c>
      <c r="D268" s="16" t="s">
        <v>1095</v>
      </c>
      <c r="E268" s="16" t="s">
        <v>116</v>
      </c>
      <c r="F268" s="118" t="s">
        <v>116</v>
      </c>
    </row>
    <row r="269" spans="1:6" x14ac:dyDescent="0.35">
      <c r="A269" t="s">
        <v>1029</v>
      </c>
      <c r="B269" t="s">
        <v>1030</v>
      </c>
      <c r="C269" t="s">
        <v>12</v>
      </c>
      <c r="D269" s="16" t="s">
        <v>1095</v>
      </c>
      <c r="E269" s="16" t="s">
        <v>116</v>
      </c>
      <c r="F269" s="118" t="s">
        <v>116</v>
      </c>
    </row>
    <row r="270" spans="1:6" x14ac:dyDescent="0.35">
      <c r="A270" t="s">
        <v>1027</v>
      </c>
      <c r="B270" t="s">
        <v>1028</v>
      </c>
      <c r="C270" t="s">
        <v>18</v>
      </c>
      <c r="D270" s="16" t="s">
        <v>1096</v>
      </c>
      <c r="E270" s="16" t="s">
        <v>116</v>
      </c>
      <c r="F270" s="118" t="s">
        <v>116</v>
      </c>
    </row>
    <row r="271" spans="1:6" x14ac:dyDescent="0.35">
      <c r="A271" t="s">
        <v>1025</v>
      </c>
      <c r="B271" t="s">
        <v>1026</v>
      </c>
      <c r="C271" t="s">
        <v>12</v>
      </c>
      <c r="D271" s="16" t="s">
        <v>1100</v>
      </c>
      <c r="E271" s="16" t="s">
        <v>116</v>
      </c>
      <c r="F271" s="118" t="s">
        <v>116</v>
      </c>
    </row>
    <row r="272" spans="1:6" x14ac:dyDescent="0.35">
      <c r="A272" t="s">
        <v>1023</v>
      </c>
      <c r="B272" t="s">
        <v>1024</v>
      </c>
      <c r="C272" t="s">
        <v>21</v>
      </c>
      <c r="D272" s="16" t="s">
        <v>519</v>
      </c>
      <c r="E272" s="16" t="s">
        <v>116</v>
      </c>
      <c r="F272" s="118" t="s">
        <v>116</v>
      </c>
    </row>
    <row r="273" spans="1:6" x14ac:dyDescent="0.35">
      <c r="A273" t="s">
        <v>543</v>
      </c>
      <c r="B273" t="s">
        <v>544</v>
      </c>
      <c r="C273" t="s">
        <v>21</v>
      </c>
      <c r="D273" s="16" t="s">
        <v>519</v>
      </c>
      <c r="E273" s="16" t="s">
        <v>22</v>
      </c>
      <c r="F273" s="118" t="s">
        <v>22</v>
      </c>
    </row>
    <row r="274" spans="1:6" x14ac:dyDescent="0.35">
      <c r="A274" t="s">
        <v>1021</v>
      </c>
      <c r="B274" t="s">
        <v>1022</v>
      </c>
      <c r="C274" t="s">
        <v>4</v>
      </c>
      <c r="D274" s="16" t="s">
        <v>1092</v>
      </c>
      <c r="E274" s="16" t="s">
        <v>22</v>
      </c>
      <c r="F274" s="118" t="s">
        <v>116</v>
      </c>
    </row>
    <row r="275" spans="1:6" x14ac:dyDescent="0.35">
      <c r="A275" t="s">
        <v>545</v>
      </c>
      <c r="B275" s="22" t="s">
        <v>546</v>
      </c>
      <c r="C275" t="s">
        <v>25</v>
      </c>
      <c r="D275" s="16" t="s">
        <v>1091</v>
      </c>
      <c r="E275" s="16" t="s">
        <v>22</v>
      </c>
      <c r="F275" s="118" t="s">
        <v>22</v>
      </c>
    </row>
    <row r="276" spans="1:6" x14ac:dyDescent="0.35">
      <c r="A276" t="s">
        <v>547</v>
      </c>
      <c r="B276" t="s">
        <v>548</v>
      </c>
      <c r="C276" t="s">
        <v>4</v>
      </c>
      <c r="D276" s="16" t="s">
        <v>1092</v>
      </c>
      <c r="E276" s="16" t="s">
        <v>22</v>
      </c>
      <c r="F276" s="118" t="s">
        <v>22</v>
      </c>
    </row>
    <row r="277" spans="1:6" x14ac:dyDescent="0.35">
      <c r="A277" t="s">
        <v>549</v>
      </c>
      <c r="B277" t="s">
        <v>550</v>
      </c>
      <c r="C277" t="s">
        <v>4</v>
      </c>
      <c r="D277" s="16" t="s">
        <v>1092</v>
      </c>
      <c r="E277" s="16" t="s">
        <v>271</v>
      </c>
      <c r="F277" s="118" t="str">
        <f>E277</f>
        <v>Aguardando Aprovação</v>
      </c>
    </row>
    <row r="278" spans="1:6" x14ac:dyDescent="0.35">
      <c r="A278" t="s">
        <v>551</v>
      </c>
      <c r="B278" t="s">
        <v>552</v>
      </c>
      <c r="C278" t="s">
        <v>21</v>
      </c>
      <c r="D278" s="16" t="s">
        <v>519</v>
      </c>
      <c r="E278" s="16" t="s">
        <v>5</v>
      </c>
      <c r="F278" s="118" t="s">
        <v>1086</v>
      </c>
    </row>
    <row r="279" spans="1:6" x14ac:dyDescent="0.35">
      <c r="A279" t="s">
        <v>553</v>
      </c>
      <c r="B279" t="s">
        <v>554</v>
      </c>
      <c r="C279" t="s">
        <v>21</v>
      </c>
      <c r="D279" s="16" t="s">
        <v>519</v>
      </c>
      <c r="E279" s="16" t="s">
        <v>5</v>
      </c>
      <c r="F279" s="118" t="s">
        <v>1086</v>
      </c>
    </row>
    <row r="280" spans="1:6" x14ac:dyDescent="0.35">
      <c r="A280" t="s">
        <v>555</v>
      </c>
      <c r="B280" t="s">
        <v>556</v>
      </c>
      <c r="C280" t="s">
        <v>25</v>
      </c>
      <c r="D280" s="16" t="s">
        <v>1091</v>
      </c>
      <c r="E280" s="16" t="s">
        <v>22</v>
      </c>
      <c r="F280" s="118" t="s">
        <v>22</v>
      </c>
    </row>
    <row r="281" spans="1:6" x14ac:dyDescent="0.35">
      <c r="A281" t="s">
        <v>557</v>
      </c>
      <c r="B281" t="s">
        <v>558</v>
      </c>
      <c r="C281" t="s">
        <v>4</v>
      </c>
      <c r="D281" s="16" t="s">
        <v>1092</v>
      </c>
      <c r="E281" s="16" t="s">
        <v>22</v>
      </c>
      <c r="F281" s="118" t="s">
        <v>22</v>
      </c>
    </row>
    <row r="282" spans="1:6" x14ac:dyDescent="0.35">
      <c r="A282" t="s">
        <v>559</v>
      </c>
      <c r="B282" t="s">
        <v>560</v>
      </c>
      <c r="C282" t="s">
        <v>4</v>
      </c>
      <c r="D282" s="16" t="s">
        <v>1092</v>
      </c>
      <c r="E282" s="16" t="s">
        <v>22</v>
      </c>
      <c r="F282" s="118" t="s">
        <v>22</v>
      </c>
    </row>
    <row r="283" spans="1:6" x14ac:dyDescent="0.35">
      <c r="A283" t="s">
        <v>1019</v>
      </c>
      <c r="B283" t="s">
        <v>1020</v>
      </c>
      <c r="C283" t="s">
        <v>21</v>
      </c>
      <c r="D283" s="16" t="s">
        <v>519</v>
      </c>
      <c r="E283" s="16" t="s">
        <v>121</v>
      </c>
      <c r="F283" s="118" t="s">
        <v>121</v>
      </c>
    </row>
    <row r="284" spans="1:6" x14ac:dyDescent="0.35">
      <c r="A284" t="s">
        <v>561</v>
      </c>
      <c r="B284" t="s">
        <v>562</v>
      </c>
      <c r="C284" t="s">
        <v>21</v>
      </c>
      <c r="D284" s="16" t="s">
        <v>519</v>
      </c>
      <c r="E284" s="16" t="s">
        <v>5</v>
      </c>
      <c r="F284" s="118" t="s">
        <v>116</v>
      </c>
    </row>
    <row r="285" spans="1:6" x14ac:dyDescent="0.35">
      <c r="A285" t="s">
        <v>563</v>
      </c>
      <c r="B285" t="s">
        <v>564</v>
      </c>
      <c r="C285" t="s">
        <v>21</v>
      </c>
      <c r="D285" s="16" t="s">
        <v>519</v>
      </c>
      <c r="E285" s="16" t="s">
        <v>5</v>
      </c>
      <c r="F285" s="118" t="s">
        <v>116</v>
      </c>
    </row>
    <row r="286" spans="1:6" x14ac:dyDescent="0.35">
      <c r="A286" t="s">
        <v>565</v>
      </c>
      <c r="B286" t="s">
        <v>566</v>
      </c>
      <c r="C286" t="s">
        <v>21</v>
      </c>
      <c r="D286" s="16" t="s">
        <v>519</v>
      </c>
      <c r="E286" s="16" t="s">
        <v>22</v>
      </c>
      <c r="F286" s="118" t="s">
        <v>22</v>
      </c>
    </row>
    <row r="287" spans="1:6" x14ac:dyDescent="0.35">
      <c r="A287" t="s">
        <v>567</v>
      </c>
      <c r="B287" t="s">
        <v>568</v>
      </c>
      <c r="C287" t="s">
        <v>12</v>
      </c>
      <c r="D287" s="16" t="s">
        <v>1098</v>
      </c>
      <c r="E287" s="16" t="s">
        <v>116</v>
      </c>
      <c r="F287" s="118" t="s">
        <v>116</v>
      </c>
    </row>
    <row r="288" spans="1:6" x14ac:dyDescent="0.35">
      <c r="A288" t="s">
        <v>569</v>
      </c>
      <c r="B288" t="s">
        <v>570</v>
      </c>
      <c r="C288" t="s">
        <v>12</v>
      </c>
      <c r="D288" s="16" t="s">
        <v>1093</v>
      </c>
      <c r="E288" s="16" t="s">
        <v>116</v>
      </c>
      <c r="F288" s="118" t="s">
        <v>116</v>
      </c>
    </row>
    <row r="289" spans="1:6" x14ac:dyDescent="0.35">
      <c r="A289" t="s">
        <v>571</v>
      </c>
      <c r="B289" t="s">
        <v>572</v>
      </c>
      <c r="C289" t="s">
        <v>21</v>
      </c>
      <c r="D289" s="16" t="s">
        <v>1097</v>
      </c>
      <c r="E289" s="16" t="s">
        <v>116</v>
      </c>
      <c r="F289" s="118" t="s">
        <v>116</v>
      </c>
    </row>
    <row r="290" spans="1:6" x14ac:dyDescent="0.35">
      <c r="A290" t="s">
        <v>573</v>
      </c>
      <c r="B290" t="s">
        <v>574</v>
      </c>
      <c r="C290" t="s">
        <v>4</v>
      </c>
      <c r="D290" s="16" t="s">
        <v>1094</v>
      </c>
      <c r="E290" s="16" t="s">
        <v>116</v>
      </c>
      <c r="F290" s="118" t="s">
        <v>116</v>
      </c>
    </row>
    <row r="291" spans="1:6" x14ac:dyDescent="0.35">
      <c r="A291" t="s">
        <v>575</v>
      </c>
      <c r="B291" t="s">
        <v>576</v>
      </c>
      <c r="C291" t="s">
        <v>4</v>
      </c>
      <c r="D291" s="16" t="s">
        <v>1094</v>
      </c>
      <c r="E291" s="16" t="s">
        <v>116</v>
      </c>
      <c r="F291" s="118" t="s">
        <v>116</v>
      </c>
    </row>
    <row r="292" spans="1:6" x14ac:dyDescent="0.35">
      <c r="A292" t="s">
        <v>577</v>
      </c>
      <c r="B292" t="s">
        <v>578</v>
      </c>
      <c r="C292" t="s">
        <v>8</v>
      </c>
      <c r="D292" s="16" t="s">
        <v>1094</v>
      </c>
      <c r="E292" s="16" t="s">
        <v>116</v>
      </c>
      <c r="F292" s="118" t="s">
        <v>116</v>
      </c>
    </row>
    <row r="293" spans="1:6" x14ac:dyDescent="0.35">
      <c r="A293" t="s">
        <v>579</v>
      </c>
      <c r="B293" t="s">
        <v>580</v>
      </c>
      <c r="C293" t="s">
        <v>21</v>
      </c>
      <c r="D293" s="16" t="s">
        <v>1094</v>
      </c>
      <c r="E293" s="16" t="s">
        <v>116</v>
      </c>
      <c r="F293" s="118" t="s">
        <v>116</v>
      </c>
    </row>
    <row r="294" spans="1:6" x14ac:dyDescent="0.35">
      <c r="A294" t="s">
        <v>581</v>
      </c>
      <c r="B294" t="s">
        <v>582</v>
      </c>
      <c r="C294" t="s">
        <v>12</v>
      </c>
      <c r="D294" s="16" t="s">
        <v>1095</v>
      </c>
      <c r="E294" s="16" t="s">
        <v>116</v>
      </c>
      <c r="F294" s="118" t="s">
        <v>116</v>
      </c>
    </row>
    <row r="295" spans="1:6" x14ac:dyDescent="0.35">
      <c r="A295" t="s">
        <v>583</v>
      </c>
      <c r="B295" t="s">
        <v>584</v>
      </c>
      <c r="C295" t="s">
        <v>12</v>
      </c>
      <c r="D295" s="16" t="s">
        <v>1095</v>
      </c>
      <c r="E295" s="16" t="s">
        <v>116</v>
      </c>
      <c r="F295" s="118" t="s">
        <v>116</v>
      </c>
    </row>
    <row r="296" spans="1:6" x14ac:dyDescent="0.35">
      <c r="A296" t="s">
        <v>585</v>
      </c>
      <c r="B296" t="s">
        <v>586</v>
      </c>
      <c r="C296" t="s">
        <v>18</v>
      </c>
      <c r="D296" s="16" t="s">
        <v>1096</v>
      </c>
      <c r="E296" s="16" t="s">
        <v>116</v>
      </c>
      <c r="F296" s="118" t="s">
        <v>116</v>
      </c>
    </row>
    <row r="297" spans="1:6" x14ac:dyDescent="0.35">
      <c r="A297" t="s">
        <v>587</v>
      </c>
      <c r="B297" t="s">
        <v>588</v>
      </c>
      <c r="C297" t="s">
        <v>12</v>
      </c>
      <c r="D297" s="16" t="s">
        <v>1100</v>
      </c>
      <c r="E297" s="16" t="s">
        <v>116</v>
      </c>
      <c r="F297" s="118" t="s">
        <v>116</v>
      </c>
    </row>
    <row r="298" spans="1:6" x14ac:dyDescent="0.35">
      <c r="A298" t="s">
        <v>589</v>
      </c>
      <c r="B298" t="s">
        <v>590</v>
      </c>
      <c r="C298" t="s">
        <v>21</v>
      </c>
      <c r="D298" s="16" t="s">
        <v>519</v>
      </c>
      <c r="E298" s="16" t="s">
        <v>116</v>
      </c>
      <c r="F298" s="118" t="s">
        <v>116</v>
      </c>
    </row>
    <row r="299" spans="1:6" x14ac:dyDescent="0.35">
      <c r="A299" t="s">
        <v>591</v>
      </c>
      <c r="B299" t="s">
        <v>592</v>
      </c>
      <c r="C299" t="s">
        <v>21</v>
      </c>
      <c r="D299" s="16" t="s">
        <v>519</v>
      </c>
      <c r="E299" s="16" t="s">
        <v>5</v>
      </c>
      <c r="F299" s="118" t="s">
        <v>1086</v>
      </c>
    </row>
    <row r="300" spans="1:6" x14ac:dyDescent="0.35">
      <c r="A300" t="s">
        <v>593</v>
      </c>
      <c r="B300" t="s">
        <v>594</v>
      </c>
      <c r="C300" t="s">
        <v>21</v>
      </c>
      <c r="D300" s="16" t="s">
        <v>519</v>
      </c>
      <c r="E300" s="16" t="s">
        <v>22</v>
      </c>
      <c r="F300" s="118" t="s">
        <v>22</v>
      </c>
    </row>
    <row r="301" spans="1:6" x14ac:dyDescent="0.35">
      <c r="A301" t="s">
        <v>595</v>
      </c>
      <c r="B301" t="s">
        <v>596</v>
      </c>
      <c r="C301" t="s">
        <v>21</v>
      </c>
      <c r="D301" s="16" t="s">
        <v>519</v>
      </c>
      <c r="E301" s="16" t="s">
        <v>22</v>
      </c>
      <c r="F301" s="118" t="s">
        <v>116</v>
      </c>
    </row>
    <row r="302" spans="1:6" x14ac:dyDescent="0.35">
      <c r="A302" t="s">
        <v>597</v>
      </c>
      <c r="B302" t="s">
        <v>598</v>
      </c>
      <c r="C302" t="s">
        <v>21</v>
      </c>
      <c r="D302" s="16" t="s">
        <v>1094</v>
      </c>
      <c r="E302" s="16" t="s">
        <v>22</v>
      </c>
      <c r="F302" s="118" t="s">
        <v>22</v>
      </c>
    </row>
    <row r="303" spans="1:6" x14ac:dyDescent="0.35">
      <c r="A303" t="s">
        <v>599</v>
      </c>
      <c r="B303" t="s">
        <v>600</v>
      </c>
      <c r="C303" t="s">
        <v>21</v>
      </c>
      <c r="D303" s="16" t="s">
        <v>519</v>
      </c>
      <c r="E303" s="16" t="s">
        <v>22</v>
      </c>
      <c r="F303" s="118" t="s">
        <v>22</v>
      </c>
    </row>
    <row r="304" spans="1:6" x14ac:dyDescent="0.35">
      <c r="A304" t="s">
        <v>601</v>
      </c>
      <c r="B304" t="s">
        <v>602</v>
      </c>
      <c r="C304" t="s">
        <v>8</v>
      </c>
      <c r="D304" s="16" t="s">
        <v>1090</v>
      </c>
      <c r="E304" s="16" t="s">
        <v>22</v>
      </c>
      <c r="F304" s="118" t="s">
        <v>22</v>
      </c>
    </row>
    <row r="305" spans="1:6" x14ac:dyDescent="0.35">
      <c r="A305" t="s">
        <v>603</v>
      </c>
      <c r="B305" t="s">
        <v>604</v>
      </c>
      <c r="C305" t="s">
        <v>8</v>
      </c>
      <c r="D305" s="16" t="s">
        <v>1090</v>
      </c>
      <c r="E305" s="16" t="s">
        <v>13</v>
      </c>
      <c r="F305" s="118" t="s">
        <v>13</v>
      </c>
    </row>
    <row r="306" spans="1:6" x14ac:dyDescent="0.35">
      <c r="A306" t="s">
        <v>605</v>
      </c>
      <c r="B306" t="s">
        <v>606</v>
      </c>
      <c r="C306" t="s">
        <v>8</v>
      </c>
      <c r="D306" s="16" t="s">
        <v>1090</v>
      </c>
      <c r="E306" s="16" t="s">
        <v>13</v>
      </c>
      <c r="F306" s="118" t="s">
        <v>13</v>
      </c>
    </row>
    <row r="307" spans="1:6" x14ac:dyDescent="0.35">
      <c r="A307" t="s">
        <v>607</v>
      </c>
      <c r="B307" t="s">
        <v>608</v>
      </c>
      <c r="C307" t="s">
        <v>8</v>
      </c>
      <c r="D307" s="16" t="s">
        <v>1090</v>
      </c>
      <c r="E307" s="16" t="s">
        <v>13</v>
      </c>
      <c r="F307" s="118" t="s">
        <v>13</v>
      </c>
    </row>
    <row r="308" spans="1:6" x14ac:dyDescent="0.35">
      <c r="A308" t="s">
        <v>609</v>
      </c>
      <c r="B308" t="s">
        <v>610</v>
      </c>
      <c r="C308" t="s">
        <v>8</v>
      </c>
      <c r="D308" s="16" t="s">
        <v>1090</v>
      </c>
      <c r="E308" s="16" t="s">
        <v>13</v>
      </c>
      <c r="F308" s="118" t="s">
        <v>13</v>
      </c>
    </row>
    <row r="309" spans="1:6" x14ac:dyDescent="0.35">
      <c r="A309" t="s">
        <v>611</v>
      </c>
      <c r="B309" t="s">
        <v>612</v>
      </c>
      <c r="C309" t="s">
        <v>8</v>
      </c>
      <c r="D309" s="16" t="s">
        <v>1090</v>
      </c>
      <c r="E309" s="16" t="s">
        <v>13</v>
      </c>
      <c r="F309" s="118" t="s">
        <v>13</v>
      </c>
    </row>
    <row r="310" spans="1:6" x14ac:dyDescent="0.35">
      <c r="A310" t="s">
        <v>613</v>
      </c>
      <c r="B310" t="s">
        <v>614</v>
      </c>
      <c r="C310" t="s">
        <v>8</v>
      </c>
      <c r="D310" s="16" t="s">
        <v>1090</v>
      </c>
      <c r="E310" s="16" t="s">
        <v>445</v>
      </c>
      <c r="F310" s="118" t="s">
        <v>445</v>
      </c>
    </row>
    <row r="311" spans="1:6" x14ac:dyDescent="0.35">
      <c r="A311" t="s">
        <v>615</v>
      </c>
      <c r="B311" t="s">
        <v>616</v>
      </c>
      <c r="C311" t="s">
        <v>21</v>
      </c>
      <c r="D311" s="16" t="s">
        <v>519</v>
      </c>
      <c r="E311" s="16" t="s">
        <v>22</v>
      </c>
      <c r="F311" s="118" t="s">
        <v>22</v>
      </c>
    </row>
    <row r="312" spans="1:6" x14ac:dyDescent="0.35">
      <c r="A312" t="s">
        <v>617</v>
      </c>
      <c r="B312" t="s">
        <v>618</v>
      </c>
      <c r="C312" t="s">
        <v>21</v>
      </c>
      <c r="D312" s="16" t="s">
        <v>519</v>
      </c>
      <c r="E312" s="16" t="s">
        <v>22</v>
      </c>
      <c r="F312" s="118" t="s">
        <v>22</v>
      </c>
    </row>
    <row r="313" spans="1:6" x14ac:dyDescent="0.35">
      <c r="A313" t="s">
        <v>619</v>
      </c>
      <c r="B313" t="s">
        <v>620</v>
      </c>
      <c r="C313" t="s">
        <v>21</v>
      </c>
      <c r="D313" s="16" t="s">
        <v>519</v>
      </c>
      <c r="E313" s="16" t="s">
        <v>22</v>
      </c>
      <c r="F313" s="118" t="s">
        <v>22</v>
      </c>
    </row>
    <row r="314" spans="1:6" x14ac:dyDescent="0.35">
      <c r="A314" t="s">
        <v>621</v>
      </c>
      <c r="B314" t="s">
        <v>622</v>
      </c>
      <c r="C314" t="s">
        <v>21</v>
      </c>
      <c r="D314" s="16" t="s">
        <v>519</v>
      </c>
      <c r="E314" s="16" t="s">
        <v>22</v>
      </c>
      <c r="F314" s="118" t="s">
        <v>22</v>
      </c>
    </row>
    <row r="315" spans="1:6" x14ac:dyDescent="0.35">
      <c r="A315" t="s">
        <v>623</v>
      </c>
      <c r="B315" t="s">
        <v>624</v>
      </c>
      <c r="C315" t="s">
        <v>21</v>
      </c>
      <c r="D315" s="16" t="s">
        <v>519</v>
      </c>
      <c r="E315" s="16" t="s">
        <v>5</v>
      </c>
      <c r="F315" s="118" t="s">
        <v>116</v>
      </c>
    </row>
    <row r="316" spans="1:6" x14ac:dyDescent="0.35">
      <c r="A316" t="s">
        <v>625</v>
      </c>
      <c r="B316" t="s">
        <v>626</v>
      </c>
      <c r="C316" t="s">
        <v>21</v>
      </c>
      <c r="D316" s="16" t="s">
        <v>519</v>
      </c>
      <c r="E316" s="16" t="s">
        <v>22</v>
      </c>
      <c r="F316" s="118" t="s">
        <v>22</v>
      </c>
    </row>
    <row r="317" spans="1:6" x14ac:dyDescent="0.35">
      <c r="A317" t="s">
        <v>627</v>
      </c>
      <c r="B317" t="s">
        <v>628</v>
      </c>
      <c r="C317" t="s">
        <v>21</v>
      </c>
      <c r="D317" s="16" t="s">
        <v>519</v>
      </c>
      <c r="E317" s="16" t="s">
        <v>489</v>
      </c>
      <c r="F317" s="118" t="s">
        <v>22</v>
      </c>
    </row>
    <row r="318" spans="1:6" x14ac:dyDescent="0.35">
      <c r="A318" t="s">
        <v>629</v>
      </c>
      <c r="B318" t="s">
        <v>630</v>
      </c>
      <c r="C318" t="s">
        <v>21</v>
      </c>
      <c r="D318" s="16" t="s">
        <v>519</v>
      </c>
      <c r="E318" s="16" t="s">
        <v>22</v>
      </c>
      <c r="F318" s="118" t="s">
        <v>22</v>
      </c>
    </row>
    <row r="319" spans="1:6" x14ac:dyDescent="0.35">
      <c r="A319" t="s">
        <v>631</v>
      </c>
      <c r="B319" t="s">
        <v>632</v>
      </c>
      <c r="C319" t="s">
        <v>21</v>
      </c>
      <c r="D319" s="16" t="s">
        <v>519</v>
      </c>
      <c r="E319" s="16" t="s">
        <v>22</v>
      </c>
      <c r="F319" s="118" t="s">
        <v>22</v>
      </c>
    </row>
    <row r="320" spans="1:6" x14ac:dyDescent="0.35">
      <c r="A320" t="s">
        <v>633</v>
      </c>
      <c r="B320" t="s">
        <v>1018</v>
      </c>
      <c r="C320" t="s">
        <v>21</v>
      </c>
      <c r="D320" s="16" t="s">
        <v>519</v>
      </c>
      <c r="E320" s="16" t="s">
        <v>5</v>
      </c>
      <c r="F320" s="118" t="s">
        <v>1086</v>
      </c>
    </row>
    <row r="321" spans="1:6" x14ac:dyDescent="0.35">
      <c r="A321" t="s">
        <v>634</v>
      </c>
      <c r="B321" t="s">
        <v>635</v>
      </c>
      <c r="C321" t="s">
        <v>21</v>
      </c>
      <c r="D321" s="16" t="s">
        <v>519</v>
      </c>
      <c r="E321" s="16" t="s">
        <v>22</v>
      </c>
      <c r="F321" s="118" t="s">
        <v>116</v>
      </c>
    </row>
    <row r="322" spans="1:6" x14ac:dyDescent="0.35">
      <c r="A322" t="s">
        <v>636</v>
      </c>
      <c r="B322" t="s">
        <v>637</v>
      </c>
      <c r="C322" t="s">
        <v>4</v>
      </c>
      <c r="D322" s="16" t="s">
        <v>1092</v>
      </c>
      <c r="E322" s="16" t="s">
        <v>22</v>
      </c>
      <c r="F322" s="118" t="s">
        <v>116</v>
      </c>
    </row>
    <row r="323" spans="1:6" x14ac:dyDescent="0.35">
      <c r="A323" t="s">
        <v>638</v>
      </c>
      <c r="B323" t="s">
        <v>639</v>
      </c>
      <c r="C323" t="s">
        <v>4</v>
      </c>
      <c r="D323" s="16" t="s">
        <v>1092</v>
      </c>
      <c r="E323" s="16" t="s">
        <v>22</v>
      </c>
      <c r="F323" s="118" t="s">
        <v>116</v>
      </c>
    </row>
    <row r="324" spans="1:6" x14ac:dyDescent="0.35">
      <c r="A324" t="s">
        <v>640</v>
      </c>
      <c r="B324" t="s">
        <v>641</v>
      </c>
      <c r="C324" t="s">
        <v>4</v>
      </c>
      <c r="D324" s="16" t="s">
        <v>1092</v>
      </c>
      <c r="E324" s="16" t="s">
        <v>22</v>
      </c>
      <c r="F324" s="118" t="s">
        <v>116</v>
      </c>
    </row>
    <row r="325" spans="1:6" x14ac:dyDescent="0.35">
      <c r="A325" t="s">
        <v>642</v>
      </c>
      <c r="B325" t="s">
        <v>643</v>
      </c>
      <c r="C325" t="s">
        <v>8</v>
      </c>
      <c r="D325" s="16" t="s">
        <v>1090</v>
      </c>
      <c r="E325" s="16" t="s">
        <v>22</v>
      </c>
      <c r="F325" s="118" t="s">
        <v>116</v>
      </c>
    </row>
    <row r="326" spans="1:6" x14ac:dyDescent="0.35">
      <c r="A326" t="s">
        <v>644</v>
      </c>
      <c r="B326" t="s">
        <v>645</v>
      </c>
      <c r="C326" t="s">
        <v>21</v>
      </c>
      <c r="D326" s="16" t="s">
        <v>519</v>
      </c>
      <c r="E326" s="16" t="s">
        <v>434</v>
      </c>
      <c r="F326" s="118" t="str">
        <f>E326</f>
        <v>Aguardando Aprovação da Revisão</v>
      </c>
    </row>
    <row r="327" spans="1:6" x14ac:dyDescent="0.35">
      <c r="A327" t="s">
        <v>646</v>
      </c>
      <c r="B327" t="s">
        <v>647</v>
      </c>
      <c r="C327" t="s">
        <v>21</v>
      </c>
      <c r="D327" s="16" t="s">
        <v>519</v>
      </c>
      <c r="E327" s="16" t="s">
        <v>22</v>
      </c>
      <c r="F327" s="118" t="s">
        <v>22</v>
      </c>
    </row>
    <row r="328" spans="1:6" x14ac:dyDescent="0.35">
      <c r="A328" t="s">
        <v>1016</v>
      </c>
      <c r="B328" t="s">
        <v>1017</v>
      </c>
      <c r="C328" t="s">
        <v>21</v>
      </c>
      <c r="D328" s="16" t="s">
        <v>519</v>
      </c>
      <c r="E328" s="16" t="s">
        <v>116</v>
      </c>
      <c r="F328" s="118" t="s">
        <v>116</v>
      </c>
    </row>
    <row r="329" spans="1:6" x14ac:dyDescent="0.35">
      <c r="A329" t="s">
        <v>1014</v>
      </c>
      <c r="B329" t="s">
        <v>1015</v>
      </c>
      <c r="C329" t="s">
        <v>21</v>
      </c>
      <c r="D329" s="16" t="s">
        <v>519</v>
      </c>
      <c r="E329" s="16" t="s">
        <v>116</v>
      </c>
      <c r="F329" s="118" t="s">
        <v>116</v>
      </c>
    </row>
    <row r="330" spans="1:6" x14ac:dyDescent="0.35">
      <c r="A330" t="s">
        <v>1012</v>
      </c>
      <c r="B330" t="s">
        <v>1013</v>
      </c>
      <c r="C330" t="s">
        <v>4</v>
      </c>
      <c r="D330" s="16" t="s">
        <v>1092</v>
      </c>
      <c r="E330" s="16" t="s">
        <v>116</v>
      </c>
      <c r="F330" s="118" t="s">
        <v>116</v>
      </c>
    </row>
    <row r="331" spans="1:6" x14ac:dyDescent="0.35">
      <c r="A331" t="s">
        <v>1010</v>
      </c>
      <c r="B331" t="s">
        <v>1011</v>
      </c>
      <c r="C331" t="s">
        <v>21</v>
      </c>
      <c r="D331" s="16" t="s">
        <v>519</v>
      </c>
      <c r="E331" s="16" t="s">
        <v>116</v>
      </c>
      <c r="F331" s="118" t="s">
        <v>116</v>
      </c>
    </row>
    <row r="332" spans="1:6" x14ac:dyDescent="0.35">
      <c r="A332" t="s">
        <v>1008</v>
      </c>
      <c r="B332" t="s">
        <v>1009</v>
      </c>
      <c r="C332" t="s">
        <v>21</v>
      </c>
      <c r="D332" s="16" t="s">
        <v>519</v>
      </c>
      <c r="E332" s="16" t="s">
        <v>116</v>
      </c>
      <c r="F332" s="118" t="s">
        <v>116</v>
      </c>
    </row>
    <row r="333" spans="1:6" x14ac:dyDescent="0.35">
      <c r="A333" t="s">
        <v>648</v>
      </c>
      <c r="B333" t="s">
        <v>1007</v>
      </c>
      <c r="C333" t="s">
        <v>8</v>
      </c>
      <c r="D333" s="16" t="s">
        <v>1090</v>
      </c>
      <c r="E333" s="16" t="s">
        <v>13</v>
      </c>
      <c r="F333" s="118" t="s">
        <v>13</v>
      </c>
    </row>
    <row r="334" spans="1:6" x14ac:dyDescent="0.35">
      <c r="A334" t="s">
        <v>650</v>
      </c>
      <c r="B334" t="s">
        <v>651</v>
      </c>
      <c r="C334" t="s">
        <v>4</v>
      </c>
      <c r="D334" s="16" t="s">
        <v>1092</v>
      </c>
      <c r="E334" s="16" t="s">
        <v>445</v>
      </c>
      <c r="F334" s="118" t="s">
        <v>445</v>
      </c>
    </row>
    <row r="335" spans="1:6" x14ac:dyDescent="0.35">
      <c r="A335" t="s">
        <v>652</v>
      </c>
      <c r="B335" t="s">
        <v>653</v>
      </c>
      <c r="C335" t="s">
        <v>8</v>
      </c>
      <c r="D335" s="16" t="s">
        <v>1090</v>
      </c>
      <c r="E335" s="16" t="s">
        <v>434</v>
      </c>
      <c r="F335" s="118" t="str">
        <f>E335</f>
        <v>Aguardando Aprovação da Revisão</v>
      </c>
    </row>
    <row r="336" spans="1:6" x14ac:dyDescent="0.35">
      <c r="A336" t="s">
        <v>654</v>
      </c>
      <c r="B336" t="s">
        <v>655</v>
      </c>
      <c r="C336" t="s">
        <v>8</v>
      </c>
      <c r="D336" s="16" t="s">
        <v>1090</v>
      </c>
      <c r="E336" s="16" t="s">
        <v>445</v>
      </c>
      <c r="F336" s="118" t="s">
        <v>445</v>
      </c>
    </row>
    <row r="337" spans="1:6" x14ac:dyDescent="0.35">
      <c r="A337" t="s">
        <v>1005</v>
      </c>
      <c r="B337" t="s">
        <v>1006</v>
      </c>
      <c r="C337" t="s">
        <v>21</v>
      </c>
      <c r="D337" s="16" t="s">
        <v>519</v>
      </c>
      <c r="E337" s="16" t="s">
        <v>116</v>
      </c>
      <c r="F337" s="118" t="s">
        <v>116</v>
      </c>
    </row>
    <row r="338" spans="1:6" x14ac:dyDescent="0.35">
      <c r="A338" t="s">
        <v>656</v>
      </c>
      <c r="B338" t="s">
        <v>657</v>
      </c>
      <c r="C338" t="s">
        <v>8</v>
      </c>
      <c r="D338" s="16" t="s">
        <v>1090</v>
      </c>
      <c r="E338" s="16" t="s">
        <v>22</v>
      </c>
      <c r="F338" s="118" t="s">
        <v>22</v>
      </c>
    </row>
    <row r="339" spans="1:6" x14ac:dyDescent="0.35">
      <c r="A339" t="s">
        <v>658</v>
      </c>
      <c r="B339" t="s">
        <v>659</v>
      </c>
      <c r="C339" t="s">
        <v>21</v>
      </c>
      <c r="D339" s="16" t="s">
        <v>519</v>
      </c>
      <c r="E339" s="16" t="s">
        <v>22</v>
      </c>
      <c r="F339" s="118" t="s">
        <v>22</v>
      </c>
    </row>
    <row r="340" spans="1:6" x14ac:dyDescent="0.35">
      <c r="A340" t="s">
        <v>660</v>
      </c>
      <c r="B340" t="s">
        <v>661</v>
      </c>
      <c r="C340" t="s">
        <v>8</v>
      </c>
      <c r="D340" s="16" t="s">
        <v>1090</v>
      </c>
      <c r="E340" s="16" t="s">
        <v>22</v>
      </c>
      <c r="F340" s="118" t="s">
        <v>22</v>
      </c>
    </row>
    <row r="341" spans="1:6" x14ac:dyDescent="0.35">
      <c r="A341" t="s">
        <v>1003</v>
      </c>
      <c r="B341" t="s">
        <v>1004</v>
      </c>
      <c r="C341" t="s">
        <v>25</v>
      </c>
      <c r="D341" s="16" t="s">
        <v>1091</v>
      </c>
      <c r="E341" s="16" t="s">
        <v>121</v>
      </c>
      <c r="F341" s="118" t="s">
        <v>121</v>
      </c>
    </row>
    <row r="342" spans="1:6" x14ac:dyDescent="0.35">
      <c r="A342" t="s">
        <v>1001</v>
      </c>
      <c r="B342" t="s">
        <v>1002</v>
      </c>
      <c r="C342" t="s">
        <v>21</v>
      </c>
      <c r="D342" s="16" t="s">
        <v>519</v>
      </c>
      <c r="E342" s="16" t="s">
        <v>116</v>
      </c>
      <c r="F342" s="118" t="s">
        <v>116</v>
      </c>
    </row>
    <row r="343" spans="1:6" x14ac:dyDescent="0.35">
      <c r="A343" t="s">
        <v>662</v>
      </c>
      <c r="B343" t="s">
        <v>663</v>
      </c>
      <c r="C343" t="s">
        <v>21</v>
      </c>
      <c r="D343" s="16" t="s">
        <v>519</v>
      </c>
      <c r="E343" s="16" t="s">
        <v>22</v>
      </c>
      <c r="F343" s="118" t="s">
        <v>22</v>
      </c>
    </row>
    <row r="344" spans="1:6" x14ac:dyDescent="0.35">
      <c r="A344" t="s">
        <v>1000</v>
      </c>
      <c r="B344" t="s">
        <v>556</v>
      </c>
      <c r="C344" t="s">
        <v>25</v>
      </c>
      <c r="D344" s="16" t="s">
        <v>1091</v>
      </c>
      <c r="E344" s="16" t="s">
        <v>121</v>
      </c>
      <c r="F344" s="118" t="s">
        <v>121</v>
      </c>
    </row>
    <row r="345" spans="1:6" x14ac:dyDescent="0.35">
      <c r="A345" t="s">
        <v>664</v>
      </c>
      <c r="B345" t="s">
        <v>665</v>
      </c>
      <c r="C345" t="s">
        <v>25</v>
      </c>
      <c r="D345" s="16" t="s">
        <v>1091</v>
      </c>
      <c r="E345" s="16" t="s">
        <v>22</v>
      </c>
      <c r="F345" s="118" t="s">
        <v>22</v>
      </c>
    </row>
    <row r="346" spans="1:6" x14ac:dyDescent="0.35">
      <c r="A346" t="s">
        <v>666</v>
      </c>
      <c r="B346" t="s">
        <v>667</v>
      </c>
      <c r="C346" t="s">
        <v>4</v>
      </c>
      <c r="D346" s="16" t="s">
        <v>1092</v>
      </c>
      <c r="E346" s="16" t="s">
        <v>22</v>
      </c>
      <c r="F346" s="118" t="s">
        <v>22</v>
      </c>
    </row>
    <row r="347" spans="1:6" x14ac:dyDescent="0.35">
      <c r="A347" t="s">
        <v>668</v>
      </c>
      <c r="B347" t="s">
        <v>669</v>
      </c>
      <c r="C347" t="s">
        <v>4</v>
      </c>
      <c r="D347" s="16" t="s">
        <v>1092</v>
      </c>
      <c r="E347" s="16" t="s">
        <v>22</v>
      </c>
      <c r="F347" s="118" t="s">
        <v>22</v>
      </c>
    </row>
    <row r="348" spans="1:6" x14ac:dyDescent="0.35">
      <c r="A348" t="s">
        <v>998</v>
      </c>
      <c r="B348" t="s">
        <v>999</v>
      </c>
      <c r="C348" t="s">
        <v>4</v>
      </c>
      <c r="D348" s="16" t="s">
        <v>1095</v>
      </c>
      <c r="E348" s="16" t="s">
        <v>271</v>
      </c>
      <c r="F348" s="118" t="str">
        <f>E348</f>
        <v>Aguardando Aprovação</v>
      </c>
    </row>
    <row r="349" spans="1:6" x14ac:dyDescent="0.35">
      <c r="A349" t="s">
        <v>996</v>
      </c>
      <c r="B349" t="s">
        <v>997</v>
      </c>
      <c r="C349" t="s">
        <v>21</v>
      </c>
      <c r="D349" s="16" t="s">
        <v>1095</v>
      </c>
      <c r="E349" s="16" t="s">
        <v>271</v>
      </c>
      <c r="F349" s="118" t="str">
        <f>E349</f>
        <v>Aguardando Aprovação</v>
      </c>
    </row>
    <row r="350" spans="1:6" x14ac:dyDescent="0.35">
      <c r="A350" t="s">
        <v>994</v>
      </c>
      <c r="B350" t="s">
        <v>995</v>
      </c>
      <c r="C350" t="s">
        <v>8</v>
      </c>
      <c r="D350" s="16" t="s">
        <v>1095</v>
      </c>
      <c r="E350" s="16" t="s">
        <v>271</v>
      </c>
      <c r="F350" s="118" t="str">
        <f>E350</f>
        <v>Aguardando Aprovação</v>
      </c>
    </row>
    <row r="351" spans="1:6" x14ac:dyDescent="0.35">
      <c r="A351" t="s">
        <v>992</v>
      </c>
      <c r="B351" t="s">
        <v>993</v>
      </c>
      <c r="C351" t="s">
        <v>4</v>
      </c>
      <c r="D351" s="16" t="s">
        <v>1095</v>
      </c>
      <c r="E351" s="16" t="s">
        <v>271</v>
      </c>
      <c r="F351" s="118" t="str">
        <f>E351</f>
        <v>Aguardando Aprovação</v>
      </c>
    </row>
    <row r="352" spans="1:6" x14ac:dyDescent="0.35">
      <c r="A352" t="s">
        <v>990</v>
      </c>
      <c r="B352" t="s">
        <v>991</v>
      </c>
      <c r="C352" t="s">
        <v>21</v>
      </c>
      <c r="D352" s="16" t="s">
        <v>1095</v>
      </c>
      <c r="E352" s="16" t="s">
        <v>5</v>
      </c>
      <c r="F352" s="118" t="s">
        <v>1086</v>
      </c>
    </row>
    <row r="353" spans="1:6" x14ac:dyDescent="0.35">
      <c r="A353" t="s">
        <v>988</v>
      </c>
      <c r="B353" t="s">
        <v>989</v>
      </c>
      <c r="C353" t="s">
        <v>8</v>
      </c>
      <c r="D353" s="16" t="s">
        <v>1095</v>
      </c>
      <c r="E353" s="16" t="s">
        <v>5</v>
      </c>
      <c r="F353" s="118" t="s">
        <v>1086</v>
      </c>
    </row>
    <row r="354" spans="1:6" x14ac:dyDescent="0.35">
      <c r="A354" t="s">
        <v>986</v>
      </c>
      <c r="B354" t="s">
        <v>987</v>
      </c>
      <c r="C354" t="s">
        <v>4</v>
      </c>
      <c r="D354" s="16" t="s">
        <v>1095</v>
      </c>
      <c r="E354" s="16" t="s">
        <v>5</v>
      </c>
      <c r="F354" s="118" t="s">
        <v>1086</v>
      </c>
    </row>
    <row r="355" spans="1:6" x14ac:dyDescent="0.35">
      <c r="A355" t="s">
        <v>984</v>
      </c>
      <c r="B355" t="s">
        <v>985</v>
      </c>
      <c r="C355" t="s">
        <v>21</v>
      </c>
      <c r="D355" s="16" t="s">
        <v>1095</v>
      </c>
      <c r="E355" s="16" t="s">
        <v>5</v>
      </c>
      <c r="F355" s="118" t="s">
        <v>1086</v>
      </c>
    </row>
    <row r="356" spans="1:6" x14ac:dyDescent="0.35">
      <c r="A356" t="s">
        <v>982</v>
      </c>
      <c r="B356" t="s">
        <v>983</v>
      </c>
      <c r="C356" t="s">
        <v>8</v>
      </c>
      <c r="D356" s="16" t="s">
        <v>1095</v>
      </c>
      <c r="E356" s="16" t="s">
        <v>5</v>
      </c>
      <c r="F356" s="118" t="s">
        <v>1086</v>
      </c>
    </row>
    <row r="357" spans="1:6" x14ac:dyDescent="0.35">
      <c r="A357" t="s">
        <v>980</v>
      </c>
      <c r="B357" t="s">
        <v>981</v>
      </c>
      <c r="C357" t="s">
        <v>4</v>
      </c>
      <c r="D357" s="16" t="s">
        <v>1095</v>
      </c>
      <c r="E357" s="16" t="s">
        <v>5</v>
      </c>
      <c r="F357" s="118" t="s">
        <v>1086</v>
      </c>
    </row>
    <row r="358" spans="1:6" x14ac:dyDescent="0.35">
      <c r="A358" t="s">
        <v>978</v>
      </c>
      <c r="B358" t="s">
        <v>979</v>
      </c>
      <c r="C358" t="s">
        <v>21</v>
      </c>
      <c r="D358" s="16" t="s">
        <v>1095</v>
      </c>
      <c r="E358" s="16" t="s">
        <v>5</v>
      </c>
      <c r="F358" s="118" t="s">
        <v>1086</v>
      </c>
    </row>
    <row r="359" spans="1:6" x14ac:dyDescent="0.35">
      <c r="A359" t="s">
        <v>976</v>
      </c>
      <c r="B359" t="s">
        <v>977</v>
      </c>
      <c r="C359" t="s">
        <v>8</v>
      </c>
      <c r="D359" s="16" t="s">
        <v>1095</v>
      </c>
      <c r="E359" s="16" t="s">
        <v>5</v>
      </c>
      <c r="F359" s="118" t="s">
        <v>1086</v>
      </c>
    </row>
    <row r="360" spans="1:6" x14ac:dyDescent="0.35">
      <c r="A360" t="s">
        <v>670</v>
      </c>
      <c r="B360" t="s">
        <v>671</v>
      </c>
      <c r="C360" t="s">
        <v>21</v>
      </c>
      <c r="D360" s="16" t="s">
        <v>519</v>
      </c>
      <c r="E360" s="16" t="s">
        <v>22</v>
      </c>
      <c r="F360" s="118" t="s">
        <v>22</v>
      </c>
    </row>
    <row r="361" spans="1:6" x14ac:dyDescent="0.35">
      <c r="A361" t="s">
        <v>672</v>
      </c>
      <c r="B361" t="s">
        <v>673</v>
      </c>
      <c r="C361" t="s">
        <v>21</v>
      </c>
      <c r="D361" s="16" t="s">
        <v>519</v>
      </c>
      <c r="E361" s="16" t="s">
        <v>121</v>
      </c>
      <c r="F361" s="118" t="s">
        <v>121</v>
      </c>
    </row>
    <row r="362" spans="1:6" x14ac:dyDescent="0.35">
      <c r="A362" t="s">
        <v>674</v>
      </c>
      <c r="B362" t="s">
        <v>675</v>
      </c>
      <c r="C362" t="s">
        <v>21</v>
      </c>
      <c r="D362" s="16" t="s">
        <v>519</v>
      </c>
      <c r="E362" s="16" t="s">
        <v>22</v>
      </c>
      <c r="F362" s="118" t="s">
        <v>22</v>
      </c>
    </row>
    <row r="363" spans="1:6" x14ac:dyDescent="0.35">
      <c r="A363" t="s">
        <v>676</v>
      </c>
      <c r="B363" t="s">
        <v>677</v>
      </c>
      <c r="C363" t="s">
        <v>21</v>
      </c>
      <c r="D363" s="16" t="s">
        <v>519</v>
      </c>
      <c r="E363" s="16" t="s">
        <v>22</v>
      </c>
      <c r="F363" s="118" t="s">
        <v>22</v>
      </c>
    </row>
    <row r="364" spans="1:6" x14ac:dyDescent="0.35">
      <c r="A364" t="s">
        <v>975</v>
      </c>
      <c r="B364" t="s">
        <v>477</v>
      </c>
      <c r="C364" t="s">
        <v>8</v>
      </c>
      <c r="D364" s="16" t="s">
        <v>1090</v>
      </c>
      <c r="E364" s="16" t="s">
        <v>121</v>
      </c>
      <c r="F364" s="118" t="s">
        <v>121</v>
      </c>
    </row>
    <row r="365" spans="1:6" x14ac:dyDescent="0.35">
      <c r="A365" t="s">
        <v>678</v>
      </c>
      <c r="B365" t="s">
        <v>679</v>
      </c>
      <c r="C365" t="s">
        <v>25</v>
      </c>
      <c r="D365" s="16" t="s">
        <v>1091</v>
      </c>
      <c r="E365" s="16" t="s">
        <v>5</v>
      </c>
      <c r="F365" s="118" t="s">
        <v>1086</v>
      </c>
    </row>
    <row r="366" spans="1:6" x14ac:dyDescent="0.35">
      <c r="A366" t="s">
        <v>973</v>
      </c>
      <c r="B366" t="s">
        <v>974</v>
      </c>
      <c r="C366" t="s">
        <v>21</v>
      </c>
      <c r="D366" s="16" t="s">
        <v>519</v>
      </c>
      <c r="E366" s="16" t="s">
        <v>116</v>
      </c>
      <c r="F366" s="118" t="s">
        <v>116</v>
      </c>
    </row>
    <row r="367" spans="1:6" x14ac:dyDescent="0.35">
      <c r="A367" t="s">
        <v>680</v>
      </c>
      <c r="B367" t="s">
        <v>681</v>
      </c>
      <c r="C367" t="s">
        <v>4</v>
      </c>
      <c r="D367" s="16" t="s">
        <v>1092</v>
      </c>
      <c r="E367" s="16" t="s">
        <v>13</v>
      </c>
      <c r="F367" s="118" t="s">
        <v>13</v>
      </c>
    </row>
    <row r="368" spans="1:6" x14ac:dyDescent="0.35">
      <c r="A368" t="s">
        <v>682</v>
      </c>
      <c r="B368" t="s">
        <v>683</v>
      </c>
      <c r="C368" t="s">
        <v>4</v>
      </c>
      <c r="D368" s="16" t="s">
        <v>1092</v>
      </c>
      <c r="E368" s="16" t="s">
        <v>13</v>
      </c>
      <c r="F368" s="118" t="s">
        <v>13</v>
      </c>
    </row>
    <row r="369" spans="1:6" x14ac:dyDescent="0.35">
      <c r="A369" t="s">
        <v>684</v>
      </c>
      <c r="B369" t="s">
        <v>685</v>
      </c>
      <c r="C369" t="s">
        <v>4</v>
      </c>
      <c r="D369" s="16" t="s">
        <v>1092</v>
      </c>
      <c r="E369" s="16" t="s">
        <v>13</v>
      </c>
      <c r="F369" s="118" t="s">
        <v>13</v>
      </c>
    </row>
    <row r="370" spans="1:6" x14ac:dyDescent="0.35">
      <c r="A370" t="s">
        <v>686</v>
      </c>
      <c r="B370" t="s">
        <v>687</v>
      </c>
      <c r="C370" t="s">
        <v>4</v>
      </c>
      <c r="D370" s="16" t="s">
        <v>1092</v>
      </c>
      <c r="E370" s="16" t="s">
        <v>13</v>
      </c>
      <c r="F370" s="118" t="s">
        <v>13</v>
      </c>
    </row>
    <row r="371" spans="1:6" x14ac:dyDescent="0.35">
      <c r="A371" t="s">
        <v>688</v>
      </c>
      <c r="B371" t="s">
        <v>972</v>
      </c>
      <c r="C371" t="s">
        <v>21</v>
      </c>
      <c r="D371" s="16" t="s">
        <v>519</v>
      </c>
      <c r="E371" s="16" t="s">
        <v>13</v>
      </c>
      <c r="F371" s="118" t="s">
        <v>13</v>
      </c>
    </row>
    <row r="372" spans="1:6" x14ac:dyDescent="0.35">
      <c r="A372" t="s">
        <v>690</v>
      </c>
      <c r="B372" t="s">
        <v>691</v>
      </c>
      <c r="C372" t="s">
        <v>21</v>
      </c>
      <c r="D372" s="16" t="s">
        <v>519</v>
      </c>
      <c r="E372" s="16" t="s">
        <v>13</v>
      </c>
      <c r="F372" s="118" t="s">
        <v>13</v>
      </c>
    </row>
    <row r="373" spans="1:6" x14ac:dyDescent="0.35">
      <c r="A373" t="s">
        <v>692</v>
      </c>
      <c r="B373" t="s">
        <v>693</v>
      </c>
      <c r="C373" t="s">
        <v>21</v>
      </c>
      <c r="D373" s="16" t="s">
        <v>519</v>
      </c>
      <c r="E373" s="16" t="s">
        <v>13</v>
      </c>
      <c r="F373" s="118" t="s">
        <v>13</v>
      </c>
    </row>
    <row r="374" spans="1:6" x14ac:dyDescent="0.35">
      <c r="A374" t="s">
        <v>694</v>
      </c>
      <c r="B374" t="s">
        <v>695</v>
      </c>
      <c r="C374" t="s">
        <v>4</v>
      </c>
      <c r="D374" s="16" t="s">
        <v>1092</v>
      </c>
      <c r="E374" s="16" t="s">
        <v>13</v>
      </c>
      <c r="F374" s="118" t="s">
        <v>13</v>
      </c>
    </row>
    <row r="375" spans="1:6" x14ac:dyDescent="0.35">
      <c r="A375" t="s">
        <v>696</v>
      </c>
      <c r="B375" s="22" t="s">
        <v>971</v>
      </c>
      <c r="C375" t="s">
        <v>4</v>
      </c>
      <c r="D375" s="16" t="s">
        <v>1092</v>
      </c>
      <c r="E375" s="16" t="s">
        <v>13</v>
      </c>
      <c r="F375" s="118" t="s">
        <v>13</v>
      </c>
    </row>
    <row r="376" spans="1:6" x14ac:dyDescent="0.35">
      <c r="A376" t="s">
        <v>697</v>
      </c>
      <c r="B376" t="s">
        <v>698</v>
      </c>
      <c r="C376" t="s">
        <v>25</v>
      </c>
      <c r="D376" s="16" t="s">
        <v>1091</v>
      </c>
      <c r="E376" s="16" t="s">
        <v>13</v>
      </c>
      <c r="F376" s="118" t="s">
        <v>13</v>
      </c>
    </row>
    <row r="377" spans="1:6" x14ac:dyDescent="0.35">
      <c r="A377" t="s">
        <v>969</v>
      </c>
      <c r="B377" t="s">
        <v>970</v>
      </c>
      <c r="C377" t="s">
        <v>12</v>
      </c>
      <c r="D377" s="16" t="s">
        <v>1098</v>
      </c>
      <c r="E377" s="16" t="s">
        <v>116</v>
      </c>
      <c r="F377" s="118" t="s">
        <v>116</v>
      </c>
    </row>
    <row r="378" spans="1:6" x14ac:dyDescent="0.35">
      <c r="A378" t="s">
        <v>967</v>
      </c>
      <c r="B378" t="s">
        <v>968</v>
      </c>
      <c r="C378" t="s">
        <v>21</v>
      </c>
      <c r="D378" s="16" t="s">
        <v>1097</v>
      </c>
      <c r="E378" s="16" t="s">
        <v>116</v>
      </c>
      <c r="F378" s="118" t="s">
        <v>116</v>
      </c>
    </row>
    <row r="379" spans="1:6" x14ac:dyDescent="0.35">
      <c r="A379" t="s">
        <v>965</v>
      </c>
      <c r="B379" t="s">
        <v>966</v>
      </c>
      <c r="C379" t="s">
        <v>901</v>
      </c>
      <c r="D379" s="16" t="s">
        <v>1093</v>
      </c>
      <c r="E379" s="16" t="s">
        <v>116</v>
      </c>
      <c r="F379" s="118" t="s">
        <v>116</v>
      </c>
    </row>
    <row r="380" spans="1:6" x14ac:dyDescent="0.35">
      <c r="A380" t="s">
        <v>963</v>
      </c>
      <c r="B380" t="s">
        <v>964</v>
      </c>
      <c r="C380" t="s">
        <v>4</v>
      </c>
      <c r="D380" s="16" t="s">
        <v>1094</v>
      </c>
      <c r="E380" s="16" t="s">
        <v>116</v>
      </c>
      <c r="F380" s="118" t="s">
        <v>116</v>
      </c>
    </row>
    <row r="381" spans="1:6" x14ac:dyDescent="0.35">
      <c r="A381" t="s">
        <v>961</v>
      </c>
      <c r="B381" t="s">
        <v>962</v>
      </c>
      <c r="C381" t="s">
        <v>4</v>
      </c>
      <c r="D381" s="16" t="s">
        <v>1094</v>
      </c>
      <c r="E381" s="16" t="s">
        <v>116</v>
      </c>
      <c r="F381" s="118" t="s">
        <v>116</v>
      </c>
    </row>
    <row r="382" spans="1:6" x14ac:dyDescent="0.35">
      <c r="A382" t="s">
        <v>959</v>
      </c>
      <c r="B382" t="s">
        <v>960</v>
      </c>
      <c r="C382" t="s">
        <v>8</v>
      </c>
      <c r="D382" s="16" t="s">
        <v>1094</v>
      </c>
      <c r="E382" s="16" t="s">
        <v>116</v>
      </c>
      <c r="F382" s="118" t="s">
        <v>116</v>
      </c>
    </row>
    <row r="383" spans="1:6" x14ac:dyDescent="0.35">
      <c r="A383" t="s">
        <v>957</v>
      </c>
      <c r="B383" t="s">
        <v>958</v>
      </c>
      <c r="C383" t="s">
        <v>21</v>
      </c>
      <c r="D383" s="16" t="s">
        <v>1094</v>
      </c>
      <c r="E383" s="16" t="s">
        <v>116</v>
      </c>
      <c r="F383" s="118" t="s">
        <v>116</v>
      </c>
    </row>
    <row r="384" spans="1:6" x14ac:dyDescent="0.35">
      <c r="A384" t="s">
        <v>955</v>
      </c>
      <c r="B384" t="s">
        <v>956</v>
      </c>
      <c r="C384" t="s">
        <v>12</v>
      </c>
      <c r="D384" s="16" t="s">
        <v>1095</v>
      </c>
      <c r="E384" s="16" t="s">
        <v>116</v>
      </c>
      <c r="F384" s="118" t="s">
        <v>116</v>
      </c>
    </row>
    <row r="385" spans="1:6" x14ac:dyDescent="0.35">
      <c r="A385" t="s">
        <v>953</v>
      </c>
      <c r="B385" t="s">
        <v>954</v>
      </c>
      <c r="C385" t="s">
        <v>12</v>
      </c>
      <c r="D385" s="16" t="s">
        <v>1095</v>
      </c>
      <c r="E385" s="16" t="s">
        <v>116</v>
      </c>
      <c r="F385" s="118" t="s">
        <v>116</v>
      </c>
    </row>
    <row r="386" spans="1:6" x14ac:dyDescent="0.35">
      <c r="A386" t="s">
        <v>951</v>
      </c>
      <c r="B386" t="s">
        <v>952</v>
      </c>
      <c r="C386" t="s">
        <v>18</v>
      </c>
      <c r="D386" s="16" t="s">
        <v>1096</v>
      </c>
      <c r="E386" s="16" t="s">
        <v>116</v>
      </c>
      <c r="F386" s="118" t="s">
        <v>116</v>
      </c>
    </row>
    <row r="387" spans="1:6" x14ac:dyDescent="0.35">
      <c r="A387" t="s">
        <v>950</v>
      </c>
      <c r="B387" t="s">
        <v>588</v>
      </c>
      <c r="C387" t="s">
        <v>12</v>
      </c>
      <c r="D387" s="16" t="s">
        <v>1100</v>
      </c>
      <c r="E387" s="16" t="s">
        <v>121</v>
      </c>
      <c r="F387" s="118" t="s">
        <v>121</v>
      </c>
    </row>
    <row r="388" spans="1:6" x14ac:dyDescent="0.35">
      <c r="A388" t="s">
        <v>948</v>
      </c>
      <c r="B388" t="s">
        <v>949</v>
      </c>
      <c r="C388" t="s">
        <v>21</v>
      </c>
      <c r="D388" s="16" t="s">
        <v>519</v>
      </c>
      <c r="E388" s="16" t="s">
        <v>116</v>
      </c>
      <c r="F388" s="118" t="s">
        <v>116</v>
      </c>
    </row>
    <row r="389" spans="1:6" x14ac:dyDescent="0.35">
      <c r="A389" t="s">
        <v>946</v>
      </c>
      <c r="B389" t="s">
        <v>947</v>
      </c>
      <c r="C389" t="s">
        <v>25</v>
      </c>
      <c r="D389" s="16" t="s">
        <v>1091</v>
      </c>
      <c r="E389" s="16" t="s">
        <v>121</v>
      </c>
      <c r="F389" s="118" t="s">
        <v>121</v>
      </c>
    </row>
    <row r="390" spans="1:6" x14ac:dyDescent="0.35">
      <c r="A390" t="s">
        <v>944</v>
      </c>
      <c r="B390" t="s">
        <v>945</v>
      </c>
      <c r="C390" t="s">
        <v>21</v>
      </c>
      <c r="D390" s="16" t="s">
        <v>519</v>
      </c>
      <c r="E390" s="16" t="s">
        <v>13</v>
      </c>
      <c r="F390" s="118" t="s">
        <v>13</v>
      </c>
    </row>
    <row r="391" spans="1:6" x14ac:dyDescent="0.35">
      <c r="A391" t="s">
        <v>942</v>
      </c>
      <c r="B391" t="s">
        <v>943</v>
      </c>
      <c r="C391" t="s">
        <v>21</v>
      </c>
      <c r="D391" s="16" t="s">
        <v>519</v>
      </c>
      <c r="E391" s="16" t="s">
        <v>22</v>
      </c>
      <c r="F391" s="118" t="s">
        <v>116</v>
      </c>
    </row>
    <row r="392" spans="1:6" x14ac:dyDescent="0.35">
      <c r="A392" t="s">
        <v>940</v>
      </c>
      <c r="B392" t="s">
        <v>941</v>
      </c>
      <c r="C392" t="s">
        <v>21</v>
      </c>
      <c r="D392" s="16" t="s">
        <v>519</v>
      </c>
      <c r="E392" s="16" t="s">
        <v>5</v>
      </c>
      <c r="F392" s="118" t="s">
        <v>1086</v>
      </c>
    </row>
    <row r="393" spans="1:6" x14ac:dyDescent="0.35">
      <c r="A393" t="s">
        <v>938</v>
      </c>
      <c r="B393" t="s">
        <v>939</v>
      </c>
      <c r="C393" t="s">
        <v>25</v>
      </c>
      <c r="D393" s="16" t="s">
        <v>1091</v>
      </c>
      <c r="E393" s="16" t="s">
        <v>5</v>
      </c>
      <c r="F393" s="118" t="s">
        <v>1086</v>
      </c>
    </row>
    <row r="394" spans="1:6" x14ac:dyDescent="0.35">
      <c r="A394" t="s">
        <v>936</v>
      </c>
      <c r="B394" t="s">
        <v>937</v>
      </c>
      <c r="C394" t="s">
        <v>8</v>
      </c>
      <c r="D394" s="16" t="s">
        <v>1090</v>
      </c>
      <c r="E394" s="16" t="s">
        <v>271</v>
      </c>
      <c r="F394" s="118" t="str">
        <f>E394</f>
        <v>Aguardando Aprovação</v>
      </c>
    </row>
    <row r="395" spans="1:6" x14ac:dyDescent="0.35">
      <c r="A395" t="s">
        <v>934</v>
      </c>
      <c r="B395" t="s">
        <v>935</v>
      </c>
      <c r="C395" t="s">
        <v>21</v>
      </c>
      <c r="D395" s="16" t="s">
        <v>519</v>
      </c>
      <c r="E395" s="16" t="s">
        <v>5</v>
      </c>
      <c r="F395" s="118" t="s">
        <v>1086</v>
      </c>
    </row>
    <row r="396" spans="1:6" x14ac:dyDescent="0.35">
      <c r="A396" t="s">
        <v>932</v>
      </c>
      <c r="B396" t="s">
        <v>933</v>
      </c>
      <c r="C396" t="s">
        <v>21</v>
      </c>
      <c r="D396" s="16" t="s">
        <v>519</v>
      </c>
      <c r="E396" s="16" t="s">
        <v>5</v>
      </c>
      <c r="F396" s="118" t="s">
        <v>5</v>
      </c>
    </row>
    <row r="397" spans="1:6" x14ac:dyDescent="0.35">
      <c r="A397" t="s">
        <v>930</v>
      </c>
      <c r="B397" t="s">
        <v>931</v>
      </c>
      <c r="C397" t="s">
        <v>21</v>
      </c>
      <c r="D397" s="16" t="s">
        <v>519</v>
      </c>
      <c r="E397" s="16" t="s">
        <v>5</v>
      </c>
      <c r="F397" s="118" t="s">
        <v>1086</v>
      </c>
    </row>
    <row r="398" spans="1:6" x14ac:dyDescent="0.35">
      <c r="A398" t="s">
        <v>928</v>
      </c>
      <c r="B398" t="s">
        <v>929</v>
      </c>
      <c r="C398" t="s">
        <v>4</v>
      </c>
      <c r="D398" s="16" t="s">
        <v>1092</v>
      </c>
      <c r="E398" s="16" t="s">
        <v>271</v>
      </c>
      <c r="F398" s="118" t="str">
        <f>E398</f>
        <v>Aguardando Aprovação</v>
      </c>
    </row>
    <row r="399" spans="1:6" x14ac:dyDescent="0.35">
      <c r="A399" t="s">
        <v>926</v>
      </c>
      <c r="B399" t="s">
        <v>927</v>
      </c>
      <c r="C399" t="s">
        <v>21</v>
      </c>
      <c r="D399" s="16" t="s">
        <v>519</v>
      </c>
      <c r="E399" s="16" t="s">
        <v>5</v>
      </c>
      <c r="F399" s="118" t="s">
        <v>1086</v>
      </c>
    </row>
    <row r="400" spans="1:6" x14ac:dyDescent="0.35">
      <c r="A400" t="s">
        <v>924</v>
      </c>
      <c r="B400" t="s">
        <v>925</v>
      </c>
      <c r="C400" t="s">
        <v>21</v>
      </c>
      <c r="D400" s="16" t="s">
        <v>519</v>
      </c>
      <c r="E400" s="16" t="s">
        <v>5</v>
      </c>
      <c r="F400" s="118" t="s">
        <v>1086</v>
      </c>
    </row>
    <row r="401" spans="1:6" x14ac:dyDescent="0.35">
      <c r="A401" t="s">
        <v>922</v>
      </c>
      <c r="B401" t="s">
        <v>923</v>
      </c>
      <c r="C401" t="s">
        <v>4</v>
      </c>
      <c r="D401" s="16" t="s">
        <v>1092</v>
      </c>
      <c r="E401" s="16" t="s">
        <v>271</v>
      </c>
      <c r="F401" s="118" t="str">
        <f>E401</f>
        <v>Aguardando Aprovação</v>
      </c>
    </row>
    <row r="402" spans="1:6" x14ac:dyDescent="0.35">
      <c r="A402" t="s">
        <v>920</v>
      </c>
      <c r="B402" t="s">
        <v>921</v>
      </c>
      <c r="C402" t="s">
        <v>21</v>
      </c>
      <c r="D402" s="16" t="s">
        <v>519</v>
      </c>
      <c r="E402" s="16" t="s">
        <v>13</v>
      </c>
      <c r="F402" s="118" t="s">
        <v>13</v>
      </c>
    </row>
    <row r="403" spans="1:6" x14ac:dyDescent="0.35">
      <c r="A403" t="s">
        <v>918</v>
      </c>
      <c r="B403" t="s">
        <v>919</v>
      </c>
      <c r="C403" t="s">
        <v>21</v>
      </c>
      <c r="D403" s="16" t="s">
        <v>519</v>
      </c>
      <c r="E403" s="16" t="s">
        <v>121</v>
      </c>
      <c r="F403" s="118" t="s">
        <v>121</v>
      </c>
    </row>
    <row r="404" spans="1:6" x14ac:dyDescent="0.35">
      <c r="A404" t="s">
        <v>916</v>
      </c>
      <c r="B404" t="s">
        <v>917</v>
      </c>
      <c r="C404" t="s">
        <v>21</v>
      </c>
      <c r="D404" s="16" t="s">
        <v>519</v>
      </c>
      <c r="E404" s="16" t="s">
        <v>13</v>
      </c>
      <c r="F404" s="118" t="s">
        <v>13</v>
      </c>
    </row>
    <row r="405" spans="1:6" x14ac:dyDescent="0.35">
      <c r="A405" t="s">
        <v>914</v>
      </c>
      <c r="B405" t="s">
        <v>915</v>
      </c>
      <c r="C405" t="s">
        <v>21</v>
      </c>
      <c r="D405" s="16" t="s">
        <v>519</v>
      </c>
      <c r="E405" s="16" t="s">
        <v>13</v>
      </c>
      <c r="F405" s="118" t="s">
        <v>13</v>
      </c>
    </row>
    <row r="406" spans="1:6" x14ac:dyDescent="0.35">
      <c r="A406" t="s">
        <v>912</v>
      </c>
      <c r="B406" t="s">
        <v>913</v>
      </c>
      <c r="C406" t="s">
        <v>21</v>
      </c>
      <c r="D406" s="16" t="s">
        <v>519</v>
      </c>
      <c r="E406" s="16" t="s">
        <v>13</v>
      </c>
      <c r="F406" s="118" t="s">
        <v>13</v>
      </c>
    </row>
    <row r="407" spans="1:6" x14ac:dyDescent="0.35">
      <c r="A407" t="s">
        <v>910</v>
      </c>
      <c r="B407" t="s">
        <v>911</v>
      </c>
      <c r="C407" t="s">
        <v>21</v>
      </c>
      <c r="D407" s="16" t="s">
        <v>519</v>
      </c>
      <c r="E407" s="16" t="s">
        <v>5</v>
      </c>
      <c r="F407" s="118" t="s">
        <v>1086</v>
      </c>
    </row>
    <row r="408" spans="1:6" x14ac:dyDescent="0.35">
      <c r="A408" t="s">
        <v>908</v>
      </c>
      <c r="B408" t="s">
        <v>909</v>
      </c>
      <c r="C408" t="s">
        <v>21</v>
      </c>
      <c r="D408" s="16" t="s">
        <v>519</v>
      </c>
      <c r="E408" s="16" t="s">
        <v>271</v>
      </c>
      <c r="F408" s="118" t="str">
        <f>E408</f>
        <v>Aguardando Aprovação</v>
      </c>
    </row>
    <row r="409" spans="1:6" x14ac:dyDescent="0.35">
      <c r="A409" t="s">
        <v>906</v>
      </c>
      <c r="B409" t="s">
        <v>907</v>
      </c>
      <c r="C409" t="s">
        <v>21</v>
      </c>
      <c r="D409" s="16" t="s">
        <v>519</v>
      </c>
      <c r="E409" s="16" t="s">
        <v>271</v>
      </c>
      <c r="F409" s="118" t="str">
        <f>E409</f>
        <v>Aguardando Aprovação</v>
      </c>
    </row>
    <row r="410" spans="1:6" x14ac:dyDescent="0.35">
      <c r="A410" t="s">
        <v>904</v>
      </c>
      <c r="B410" t="s">
        <v>905</v>
      </c>
      <c r="C410" t="s">
        <v>12</v>
      </c>
      <c r="D410" s="16" t="s">
        <v>1098</v>
      </c>
      <c r="E410" s="16" t="s">
        <v>22</v>
      </c>
      <c r="F410" s="118" t="s">
        <v>22</v>
      </c>
    </row>
    <row r="411" spans="1:6" x14ac:dyDescent="0.35">
      <c r="A411" t="s">
        <v>902</v>
      </c>
      <c r="B411" t="s">
        <v>903</v>
      </c>
      <c r="C411" t="s">
        <v>21</v>
      </c>
      <c r="D411" s="16" t="s">
        <v>1097</v>
      </c>
      <c r="E411" s="16" t="s">
        <v>445</v>
      </c>
      <c r="F411" s="118" t="s">
        <v>445</v>
      </c>
    </row>
    <row r="412" spans="1:6" x14ac:dyDescent="0.35">
      <c r="A412" t="s">
        <v>899</v>
      </c>
      <c r="B412" t="s">
        <v>900</v>
      </c>
      <c r="C412" t="s">
        <v>901</v>
      </c>
      <c r="D412" s="16" t="s">
        <v>1093</v>
      </c>
      <c r="E412" s="16" t="s">
        <v>489</v>
      </c>
      <c r="F412" s="118" t="s">
        <v>22</v>
      </c>
    </row>
    <row r="413" spans="1:6" x14ac:dyDescent="0.35">
      <c r="A413" t="s">
        <v>897</v>
      </c>
      <c r="B413" t="s">
        <v>898</v>
      </c>
      <c r="C413" t="s">
        <v>4</v>
      </c>
      <c r="D413" s="16" t="s">
        <v>1094</v>
      </c>
      <c r="E413" s="16" t="s">
        <v>22</v>
      </c>
      <c r="F413" s="118" t="s">
        <v>22</v>
      </c>
    </row>
    <row r="414" spans="1:6" x14ac:dyDescent="0.35">
      <c r="A414" t="s">
        <v>895</v>
      </c>
      <c r="B414" t="s">
        <v>896</v>
      </c>
      <c r="C414" t="s">
        <v>4</v>
      </c>
      <c r="D414" s="16" t="s">
        <v>1094</v>
      </c>
      <c r="E414" s="16" t="s">
        <v>22</v>
      </c>
      <c r="F414" s="118" t="s">
        <v>22</v>
      </c>
    </row>
    <row r="415" spans="1:6" x14ac:dyDescent="0.35">
      <c r="A415" t="s">
        <v>893</v>
      </c>
      <c r="B415" t="s">
        <v>894</v>
      </c>
      <c r="C415" t="s">
        <v>8</v>
      </c>
      <c r="D415" s="16" t="s">
        <v>1094</v>
      </c>
      <c r="E415" s="16" t="s">
        <v>22</v>
      </c>
      <c r="F415" s="118" t="s">
        <v>22</v>
      </c>
    </row>
    <row r="416" spans="1:6" x14ac:dyDescent="0.35">
      <c r="A416" t="s">
        <v>891</v>
      </c>
      <c r="B416" t="s">
        <v>892</v>
      </c>
      <c r="C416" t="s">
        <v>21</v>
      </c>
      <c r="D416" s="16" t="s">
        <v>1094</v>
      </c>
      <c r="E416" s="16" t="s">
        <v>22</v>
      </c>
      <c r="F416" s="118" t="s">
        <v>22</v>
      </c>
    </row>
    <row r="417" spans="1:6" x14ac:dyDescent="0.35">
      <c r="A417" t="s">
        <v>889</v>
      </c>
      <c r="B417" t="s">
        <v>890</v>
      </c>
      <c r="C417" t="s">
        <v>12</v>
      </c>
      <c r="D417" s="16" t="s">
        <v>1095</v>
      </c>
      <c r="E417" s="16" t="s">
        <v>22</v>
      </c>
      <c r="F417" s="118" t="s">
        <v>22</v>
      </c>
    </row>
    <row r="418" spans="1:6" x14ac:dyDescent="0.35">
      <c r="A418" t="s">
        <v>887</v>
      </c>
      <c r="B418" t="s">
        <v>888</v>
      </c>
      <c r="C418" t="s">
        <v>12</v>
      </c>
      <c r="D418" s="16" t="s">
        <v>1095</v>
      </c>
      <c r="E418" s="16" t="s">
        <v>22</v>
      </c>
      <c r="F418" s="118" t="s">
        <v>22</v>
      </c>
    </row>
    <row r="419" spans="1:6" x14ac:dyDescent="0.35">
      <c r="A419" t="s">
        <v>885</v>
      </c>
      <c r="B419" t="s">
        <v>886</v>
      </c>
      <c r="C419" t="s">
        <v>18</v>
      </c>
      <c r="D419" s="16" t="s">
        <v>1096</v>
      </c>
      <c r="E419" s="16" t="s">
        <v>13</v>
      </c>
      <c r="F419" s="118" t="s">
        <v>13</v>
      </c>
    </row>
    <row r="420" spans="1:6" x14ac:dyDescent="0.35">
      <c r="A420" t="s">
        <v>883</v>
      </c>
      <c r="B420" t="s">
        <v>884</v>
      </c>
      <c r="C420" t="s">
        <v>21</v>
      </c>
      <c r="D420" s="16" t="s">
        <v>519</v>
      </c>
      <c r="E420" s="16" t="s">
        <v>121</v>
      </c>
      <c r="F420" s="118" t="s">
        <v>121</v>
      </c>
    </row>
    <row r="421" spans="1:6" x14ac:dyDescent="0.35">
      <c r="A421" t="s">
        <v>881</v>
      </c>
      <c r="B421" t="s">
        <v>882</v>
      </c>
      <c r="C421" t="s">
        <v>25</v>
      </c>
      <c r="D421" s="16" t="s">
        <v>1091</v>
      </c>
      <c r="E421" s="16" t="s">
        <v>271</v>
      </c>
      <c r="F421" s="118" t="str">
        <f>E421</f>
        <v>Aguardando Aprovação</v>
      </c>
    </row>
    <row r="422" spans="1:6" x14ac:dyDescent="0.35">
      <c r="A422" t="s">
        <v>879</v>
      </c>
      <c r="B422" t="s">
        <v>880</v>
      </c>
      <c r="C422" t="s">
        <v>18</v>
      </c>
      <c r="D422" s="16" t="s">
        <v>519</v>
      </c>
      <c r="E422" s="16" t="s">
        <v>5</v>
      </c>
      <c r="F422" s="118" t="s">
        <v>1086</v>
      </c>
    </row>
    <row r="423" spans="1:6" x14ac:dyDescent="0.35">
      <c r="A423" t="s">
        <v>877</v>
      </c>
      <c r="B423" t="s">
        <v>878</v>
      </c>
      <c r="C423" t="s">
        <v>8</v>
      </c>
      <c r="D423" s="16" t="s">
        <v>1090</v>
      </c>
      <c r="E423" s="16" t="s">
        <v>5</v>
      </c>
      <c r="F423" s="118" t="s">
        <v>1086</v>
      </c>
    </row>
    <row r="424" spans="1:6" x14ac:dyDescent="0.35">
      <c r="A424" t="s">
        <v>875</v>
      </c>
      <c r="B424" t="s">
        <v>876</v>
      </c>
      <c r="C424" t="s">
        <v>21</v>
      </c>
      <c r="D424" s="16" t="s">
        <v>519</v>
      </c>
      <c r="E424" s="16" t="s">
        <v>22</v>
      </c>
      <c r="F424" s="118" t="s">
        <v>22</v>
      </c>
    </row>
    <row r="425" spans="1:6" x14ac:dyDescent="0.35">
      <c r="A425" t="s">
        <v>873</v>
      </c>
      <c r="B425" t="s">
        <v>874</v>
      </c>
      <c r="C425" t="s">
        <v>21</v>
      </c>
      <c r="D425" s="16" t="s">
        <v>519</v>
      </c>
      <c r="E425" s="16" t="s">
        <v>5</v>
      </c>
      <c r="F425" s="118" t="s">
        <v>1086</v>
      </c>
    </row>
    <row r="426" spans="1:6" x14ac:dyDescent="0.35">
      <c r="A426" t="s">
        <v>871</v>
      </c>
      <c r="B426" t="s">
        <v>872</v>
      </c>
      <c r="C426" t="s">
        <v>21</v>
      </c>
      <c r="D426" s="16" t="s">
        <v>519</v>
      </c>
      <c r="E426" s="16" t="s">
        <v>271</v>
      </c>
      <c r="F426" s="118" t="str">
        <f>E426</f>
        <v>Aguardando Aprovação</v>
      </c>
    </row>
    <row r="427" spans="1:6" x14ac:dyDescent="0.35">
      <c r="A427" t="s">
        <v>869</v>
      </c>
      <c r="B427" t="s">
        <v>870</v>
      </c>
      <c r="C427" t="s">
        <v>8</v>
      </c>
      <c r="D427" s="16" t="s">
        <v>1090</v>
      </c>
      <c r="E427" s="16" t="s">
        <v>271</v>
      </c>
      <c r="F427" s="118" t="str">
        <f>E427</f>
        <v>Aguardando Aprovação</v>
      </c>
    </row>
    <row r="428" spans="1:6" x14ac:dyDescent="0.35">
      <c r="A428" t="s">
        <v>867</v>
      </c>
      <c r="B428" t="s">
        <v>868</v>
      </c>
      <c r="C428" t="s">
        <v>21</v>
      </c>
      <c r="D428" s="16" t="s">
        <v>1095</v>
      </c>
      <c r="E428" s="16" t="s">
        <v>5</v>
      </c>
      <c r="F428" s="118" t="s">
        <v>1086</v>
      </c>
    </row>
    <row r="429" spans="1:6" x14ac:dyDescent="0.35">
      <c r="A429" t="s">
        <v>865</v>
      </c>
      <c r="B429" t="s">
        <v>866</v>
      </c>
      <c r="C429" t="s">
        <v>21</v>
      </c>
      <c r="D429" s="16" t="s">
        <v>519</v>
      </c>
      <c r="E429" s="16" t="s">
        <v>5</v>
      </c>
      <c r="F429" s="118" t="s">
        <v>1086</v>
      </c>
    </row>
    <row r="430" spans="1:6" x14ac:dyDescent="0.35">
      <c r="A430" t="s">
        <v>863</v>
      </c>
      <c r="B430" t="s">
        <v>864</v>
      </c>
      <c r="C430" t="s">
        <v>8</v>
      </c>
      <c r="D430" s="16" t="s">
        <v>1090</v>
      </c>
      <c r="E430" s="16" t="s">
        <v>5</v>
      </c>
      <c r="F430" s="118" t="s">
        <v>1086</v>
      </c>
    </row>
    <row r="431" spans="1:6" x14ac:dyDescent="0.35">
      <c r="A431" t="s">
        <v>861</v>
      </c>
      <c r="B431" t="s">
        <v>862</v>
      </c>
      <c r="C431" t="s">
        <v>21</v>
      </c>
      <c r="D431" s="16" t="s">
        <v>519</v>
      </c>
      <c r="E431" s="16" t="s">
        <v>5</v>
      </c>
      <c r="F431" s="118" t="s">
        <v>1086</v>
      </c>
    </row>
    <row r="432" spans="1:6" x14ac:dyDescent="0.35">
      <c r="A432" t="s">
        <v>859</v>
      </c>
      <c r="B432" t="s">
        <v>860</v>
      </c>
      <c r="C432" t="s">
        <v>21</v>
      </c>
      <c r="D432" s="16" t="s">
        <v>1095</v>
      </c>
      <c r="E432" s="16" t="s">
        <v>489</v>
      </c>
      <c r="F432" s="118" t="s">
        <v>22</v>
      </c>
    </row>
    <row r="433" spans="1:6" x14ac:dyDescent="0.35">
      <c r="A433" t="s">
        <v>857</v>
      </c>
      <c r="B433" t="s">
        <v>858</v>
      </c>
      <c r="C433" t="s">
        <v>25</v>
      </c>
      <c r="D433" s="16" t="s">
        <v>1091</v>
      </c>
      <c r="E433" s="16" t="s">
        <v>271</v>
      </c>
      <c r="F433" s="118" t="str">
        <f>E433</f>
        <v>Aguardando Aprovação</v>
      </c>
    </row>
    <row r="434" spans="1:6" x14ac:dyDescent="0.35">
      <c r="A434" t="s">
        <v>855</v>
      </c>
      <c r="B434" t="s">
        <v>856</v>
      </c>
      <c r="C434" t="s">
        <v>8</v>
      </c>
      <c r="D434" s="16" t="s">
        <v>1090</v>
      </c>
      <c r="E434" s="16" t="s">
        <v>271</v>
      </c>
      <c r="F434" s="118" t="str">
        <f>E434</f>
        <v>Aguardando Aprovação</v>
      </c>
    </row>
    <row r="435" spans="1:6" x14ac:dyDescent="0.35">
      <c r="A435" t="s">
        <v>853</v>
      </c>
      <c r="B435" t="s">
        <v>854</v>
      </c>
      <c r="C435" t="s">
        <v>21</v>
      </c>
      <c r="D435" s="16" t="s">
        <v>519</v>
      </c>
      <c r="E435" s="16" t="s">
        <v>5</v>
      </c>
      <c r="F435" s="118" t="s">
        <v>1086</v>
      </c>
    </row>
    <row r="436" spans="1:6" x14ac:dyDescent="0.35">
      <c r="A436" t="s">
        <v>851</v>
      </c>
      <c r="B436" t="s">
        <v>852</v>
      </c>
      <c r="C436" t="s">
        <v>21</v>
      </c>
      <c r="D436" s="16" t="s">
        <v>519</v>
      </c>
      <c r="E436" s="16" t="s">
        <v>22</v>
      </c>
      <c r="F436" s="118" t="s">
        <v>22</v>
      </c>
    </row>
    <row r="437" spans="1:6" x14ac:dyDescent="0.35">
      <c r="A437" t="s">
        <v>849</v>
      </c>
      <c r="B437" t="s">
        <v>850</v>
      </c>
      <c r="C437" t="s">
        <v>8</v>
      </c>
      <c r="D437" s="16" t="s">
        <v>1090</v>
      </c>
      <c r="E437" s="16" t="s">
        <v>271</v>
      </c>
      <c r="F437" s="118" t="str">
        <f>E437</f>
        <v>Aguardando Aprovação</v>
      </c>
    </row>
    <row r="438" spans="1:6" x14ac:dyDescent="0.35">
      <c r="A438" t="s">
        <v>847</v>
      </c>
      <c r="B438" t="s">
        <v>848</v>
      </c>
      <c r="C438" t="s">
        <v>21</v>
      </c>
      <c r="D438" s="16" t="s">
        <v>519</v>
      </c>
      <c r="E438" s="16" t="s">
        <v>271</v>
      </c>
      <c r="F438" s="118" t="str">
        <f>E438</f>
        <v>Aguardando Aprovação</v>
      </c>
    </row>
    <row r="439" spans="1:6" x14ac:dyDescent="0.35">
      <c r="A439" t="s">
        <v>845</v>
      </c>
      <c r="B439" t="s">
        <v>846</v>
      </c>
      <c r="C439" t="s">
        <v>25</v>
      </c>
      <c r="D439" s="16" t="s">
        <v>1091</v>
      </c>
      <c r="E439" s="16" t="s">
        <v>5</v>
      </c>
      <c r="F439" s="118" t="s">
        <v>1086</v>
      </c>
    </row>
    <row r="440" spans="1:6" x14ac:dyDescent="0.35">
      <c r="A440" t="s">
        <v>843</v>
      </c>
      <c r="B440" t="s">
        <v>844</v>
      </c>
      <c r="C440" t="s">
        <v>4</v>
      </c>
      <c r="D440" s="16" t="s">
        <v>1092</v>
      </c>
      <c r="E440" s="16" t="s">
        <v>5</v>
      </c>
      <c r="F440" s="118" t="s">
        <v>1086</v>
      </c>
    </row>
    <row r="441" spans="1:6" x14ac:dyDescent="0.35">
      <c r="A441" t="s">
        <v>841</v>
      </c>
      <c r="B441" t="s">
        <v>842</v>
      </c>
      <c r="C441" t="s">
        <v>21</v>
      </c>
      <c r="D441" s="16" t="s">
        <v>519</v>
      </c>
      <c r="E441" s="16" t="s">
        <v>5</v>
      </c>
      <c r="F441" s="118" t="s">
        <v>1086</v>
      </c>
    </row>
    <row r="442" spans="1:6" x14ac:dyDescent="0.35">
      <c r="A442" t="s">
        <v>839</v>
      </c>
      <c r="B442" t="s">
        <v>840</v>
      </c>
      <c r="C442" t="s">
        <v>21</v>
      </c>
      <c r="D442" s="16" t="s">
        <v>519</v>
      </c>
      <c r="E442" s="16" t="s">
        <v>5</v>
      </c>
      <c r="F442" s="118" t="s">
        <v>1086</v>
      </c>
    </row>
    <row r="443" spans="1:6" x14ac:dyDescent="0.35">
      <c r="A443" t="s">
        <v>837</v>
      </c>
      <c r="B443" t="s">
        <v>838</v>
      </c>
      <c r="C443" t="s">
        <v>4</v>
      </c>
      <c r="D443" s="16" t="s">
        <v>1092</v>
      </c>
      <c r="E443" s="16" t="s">
        <v>5</v>
      </c>
      <c r="F443" s="118" t="s">
        <v>1086</v>
      </c>
    </row>
    <row r="444" spans="1:6" x14ac:dyDescent="0.35">
      <c r="A444" t="s">
        <v>835</v>
      </c>
      <c r="B444" t="s">
        <v>836</v>
      </c>
      <c r="C444" t="s">
        <v>21</v>
      </c>
      <c r="D444" s="16" t="s">
        <v>519</v>
      </c>
      <c r="E444" s="16" t="s">
        <v>22</v>
      </c>
      <c r="F444" s="118" t="s">
        <v>22</v>
      </c>
    </row>
    <row r="445" spans="1:6" x14ac:dyDescent="0.35">
      <c r="A445" t="s">
        <v>833</v>
      </c>
      <c r="B445" t="s">
        <v>834</v>
      </c>
      <c r="C445" t="s">
        <v>12</v>
      </c>
      <c r="D445" s="16" t="s">
        <v>1099</v>
      </c>
      <c r="E445" s="16" t="s">
        <v>271</v>
      </c>
      <c r="F445" s="118" t="str">
        <f>E445</f>
        <v>Aguardando Aprovação</v>
      </c>
    </row>
    <row r="446" spans="1:6" x14ac:dyDescent="0.35">
      <c r="A446" t="s">
        <v>831</v>
      </c>
      <c r="B446" t="s">
        <v>832</v>
      </c>
      <c r="C446" t="s">
        <v>21</v>
      </c>
      <c r="D446" s="16" t="s">
        <v>1095</v>
      </c>
      <c r="E446" s="16" t="s">
        <v>271</v>
      </c>
      <c r="F446" s="118" t="str">
        <f>E446</f>
        <v>Aguardando Aprovação</v>
      </c>
    </row>
    <row r="447" spans="1:6" x14ac:dyDescent="0.35">
      <c r="A447" t="s">
        <v>829</v>
      </c>
      <c r="B447" t="s">
        <v>830</v>
      </c>
      <c r="C447" t="s">
        <v>21</v>
      </c>
      <c r="D447" s="16" t="s">
        <v>519</v>
      </c>
      <c r="E447" s="16" t="s">
        <v>5</v>
      </c>
      <c r="F447" s="118" t="s">
        <v>5</v>
      </c>
    </row>
    <row r="448" spans="1:6" x14ac:dyDescent="0.35">
      <c r="A448" t="s">
        <v>827</v>
      </c>
      <c r="B448" t="s">
        <v>828</v>
      </c>
      <c r="C448" t="s">
        <v>8</v>
      </c>
      <c r="D448" s="16" t="s">
        <v>1090</v>
      </c>
      <c r="E448" s="16" t="s">
        <v>5</v>
      </c>
      <c r="F448" s="118" t="s">
        <v>5</v>
      </c>
    </row>
    <row r="449" spans="1:6" x14ac:dyDescent="0.35">
      <c r="A449" t="s">
        <v>825</v>
      </c>
      <c r="B449" t="s">
        <v>826</v>
      </c>
      <c r="C449" t="s">
        <v>21</v>
      </c>
      <c r="D449" s="16" t="s">
        <v>1095</v>
      </c>
      <c r="E449" s="16" t="s">
        <v>271</v>
      </c>
      <c r="F449" s="118" t="str">
        <f>E449</f>
        <v>Aguardando Aprovação</v>
      </c>
    </row>
    <row r="450" spans="1:6" x14ac:dyDescent="0.35">
      <c r="A450" t="s">
        <v>823</v>
      </c>
      <c r="B450" t="s">
        <v>824</v>
      </c>
      <c r="C450" t="s">
        <v>8</v>
      </c>
      <c r="D450" s="16" t="s">
        <v>1090</v>
      </c>
      <c r="E450" s="16" t="s">
        <v>5</v>
      </c>
      <c r="F450" s="118" t="s">
        <v>5</v>
      </c>
    </row>
    <row r="451" spans="1:6" x14ac:dyDescent="0.35">
      <c r="A451" t="s">
        <v>821</v>
      </c>
      <c r="B451" t="s">
        <v>822</v>
      </c>
      <c r="C451" t="s">
        <v>4</v>
      </c>
      <c r="D451" s="16" t="s">
        <v>1092</v>
      </c>
      <c r="E451" s="16" t="s">
        <v>13</v>
      </c>
      <c r="F451" s="118" t="s">
        <v>13</v>
      </c>
    </row>
    <row r="452" spans="1:6" x14ac:dyDescent="0.35">
      <c r="A452" t="s">
        <v>819</v>
      </c>
      <c r="B452" t="s">
        <v>820</v>
      </c>
      <c r="C452" t="s">
        <v>21</v>
      </c>
      <c r="D452" s="16" t="s">
        <v>519</v>
      </c>
      <c r="E452" s="16" t="s">
        <v>5</v>
      </c>
      <c r="F452" s="118" t="s">
        <v>1086</v>
      </c>
    </row>
    <row r="453" spans="1:6" x14ac:dyDescent="0.35">
      <c r="A453" t="s">
        <v>817</v>
      </c>
      <c r="B453" t="s">
        <v>818</v>
      </c>
      <c r="C453" t="s">
        <v>21</v>
      </c>
      <c r="D453" s="16" t="s">
        <v>1095</v>
      </c>
      <c r="E453" s="16" t="s">
        <v>5</v>
      </c>
      <c r="F453" s="118" t="s">
        <v>1086</v>
      </c>
    </row>
    <row r="454" spans="1:6" x14ac:dyDescent="0.35">
      <c r="A454" t="s">
        <v>815</v>
      </c>
      <c r="B454" t="s">
        <v>816</v>
      </c>
      <c r="C454" t="s">
        <v>21</v>
      </c>
      <c r="D454" s="16" t="s">
        <v>519</v>
      </c>
      <c r="E454" s="16" t="s">
        <v>271</v>
      </c>
      <c r="F454" s="118" t="str">
        <f>E454</f>
        <v>Aguardando Aprovação</v>
      </c>
    </row>
    <row r="455" spans="1:6" x14ac:dyDescent="0.35">
      <c r="A455" t="s">
        <v>813</v>
      </c>
      <c r="B455" t="s">
        <v>814</v>
      </c>
      <c r="C455" t="s">
        <v>21</v>
      </c>
      <c r="D455" s="16" t="s">
        <v>519</v>
      </c>
      <c r="E455" s="16" t="s">
        <v>5</v>
      </c>
      <c r="F455" s="118" t="s">
        <v>1086</v>
      </c>
    </row>
    <row r="456" spans="1:6" x14ac:dyDescent="0.35">
      <c r="A456" t="s">
        <v>811</v>
      </c>
      <c r="B456" t="s">
        <v>812</v>
      </c>
      <c r="C456" t="s">
        <v>21</v>
      </c>
      <c r="D456" s="16" t="s">
        <v>519</v>
      </c>
      <c r="E456" s="16" t="s">
        <v>5</v>
      </c>
      <c r="F456" s="118" t="s">
        <v>5</v>
      </c>
    </row>
    <row r="457" spans="1:6" x14ac:dyDescent="0.35">
      <c r="A457" t="s">
        <v>809</v>
      </c>
      <c r="B457" t="s">
        <v>810</v>
      </c>
      <c r="C457" t="s">
        <v>25</v>
      </c>
      <c r="D457" s="16" t="s">
        <v>1091</v>
      </c>
      <c r="E457" s="16" t="s">
        <v>5</v>
      </c>
      <c r="F457" s="118" t="s">
        <v>5</v>
      </c>
    </row>
    <row r="458" spans="1:6" x14ac:dyDescent="0.35">
      <c r="A458" t="s">
        <v>807</v>
      </c>
      <c r="B458" t="s">
        <v>808</v>
      </c>
      <c r="C458" t="s">
        <v>4</v>
      </c>
      <c r="D458" s="16" t="s">
        <v>1092</v>
      </c>
      <c r="E458" s="16" t="s">
        <v>5</v>
      </c>
      <c r="F458" s="118" t="s">
        <v>5</v>
      </c>
    </row>
    <row r="459" spans="1:6" x14ac:dyDescent="0.35">
      <c r="A459" t="s">
        <v>805</v>
      </c>
      <c r="B459" t="s">
        <v>806</v>
      </c>
      <c r="C459" t="s">
        <v>4</v>
      </c>
      <c r="D459" s="16" t="s">
        <v>1092</v>
      </c>
      <c r="E459" s="16" t="s">
        <v>5</v>
      </c>
      <c r="F459" s="118" t="s">
        <v>5</v>
      </c>
    </row>
    <row r="460" spans="1:6" x14ac:dyDescent="0.35">
      <c r="A460" t="s">
        <v>803</v>
      </c>
      <c r="B460" t="s">
        <v>804</v>
      </c>
      <c r="C460" t="s">
        <v>25</v>
      </c>
      <c r="D460" s="16" t="s">
        <v>1091</v>
      </c>
      <c r="E460" s="16" t="s">
        <v>5</v>
      </c>
      <c r="F460" s="118" t="s">
        <v>1086</v>
      </c>
    </row>
    <row r="461" spans="1:6" x14ac:dyDescent="0.35">
      <c r="A461" t="s">
        <v>801</v>
      </c>
      <c r="B461" t="s">
        <v>802</v>
      </c>
      <c r="C461" t="s">
        <v>4</v>
      </c>
      <c r="D461" s="16" t="s">
        <v>1092</v>
      </c>
      <c r="E461" s="16" t="s">
        <v>5</v>
      </c>
      <c r="F461" s="118" t="s">
        <v>1086</v>
      </c>
    </row>
    <row r="462" spans="1:6" x14ac:dyDescent="0.35">
      <c r="A462" t="s">
        <v>799</v>
      </c>
      <c r="B462" t="s">
        <v>800</v>
      </c>
      <c r="C462" t="s">
        <v>4</v>
      </c>
      <c r="D462" s="16" t="s">
        <v>1092</v>
      </c>
      <c r="E462" s="16" t="s">
        <v>5</v>
      </c>
      <c r="F462" s="118" t="s">
        <v>1086</v>
      </c>
    </row>
    <row r="463" spans="1:6" x14ac:dyDescent="0.35">
      <c r="A463" t="s">
        <v>797</v>
      </c>
      <c r="B463" t="s">
        <v>798</v>
      </c>
      <c r="C463" t="s">
        <v>25</v>
      </c>
      <c r="D463" s="16" t="s">
        <v>1091</v>
      </c>
      <c r="E463" s="16" t="s">
        <v>5</v>
      </c>
      <c r="F463" s="118" t="s">
        <v>1086</v>
      </c>
    </row>
    <row r="464" spans="1:6" x14ac:dyDescent="0.35">
      <c r="A464" t="s">
        <v>796</v>
      </c>
      <c r="B464" t="s">
        <v>795</v>
      </c>
      <c r="C464" t="s">
        <v>4</v>
      </c>
      <c r="D464" s="16" t="s">
        <v>1092</v>
      </c>
      <c r="E464" s="16" t="s">
        <v>5</v>
      </c>
      <c r="F464" s="118" t="s">
        <v>1086</v>
      </c>
    </row>
    <row r="465" spans="1:6" x14ac:dyDescent="0.35">
      <c r="A465" t="s">
        <v>794</v>
      </c>
      <c r="B465" t="s">
        <v>795</v>
      </c>
      <c r="C465" t="s">
        <v>4</v>
      </c>
      <c r="D465" s="16" t="s">
        <v>1092</v>
      </c>
      <c r="E465" s="16" t="s">
        <v>5</v>
      </c>
      <c r="F465" s="118" t="s">
        <v>1086</v>
      </c>
    </row>
    <row r="466" spans="1:6" x14ac:dyDescent="0.35">
      <c r="A466" t="s">
        <v>792</v>
      </c>
      <c r="B466" t="s">
        <v>793</v>
      </c>
      <c r="C466" t="s">
        <v>25</v>
      </c>
      <c r="D466" s="16" t="s">
        <v>1091</v>
      </c>
      <c r="E466" s="16" t="s">
        <v>5</v>
      </c>
      <c r="F466" s="118" t="s">
        <v>1086</v>
      </c>
    </row>
    <row r="467" spans="1:6" x14ac:dyDescent="0.35">
      <c r="A467" t="s">
        <v>790</v>
      </c>
      <c r="B467" t="s">
        <v>791</v>
      </c>
      <c r="C467" t="s">
        <v>4</v>
      </c>
      <c r="D467" s="16" t="s">
        <v>1092</v>
      </c>
      <c r="E467" s="16" t="s">
        <v>5</v>
      </c>
      <c r="F467" s="118" t="s">
        <v>1086</v>
      </c>
    </row>
    <row r="468" spans="1:6" x14ac:dyDescent="0.35">
      <c r="A468" t="s">
        <v>788</v>
      </c>
      <c r="B468" t="s">
        <v>789</v>
      </c>
      <c r="C468" t="s">
        <v>4</v>
      </c>
      <c r="D468" s="16" t="s">
        <v>1092</v>
      </c>
      <c r="E468" s="16" t="s">
        <v>5</v>
      </c>
      <c r="F468" s="118" t="s">
        <v>1086</v>
      </c>
    </row>
    <row r="469" spans="1:6" x14ac:dyDescent="0.35">
      <c r="A469" t="s">
        <v>786</v>
      </c>
      <c r="B469" t="s">
        <v>787</v>
      </c>
      <c r="C469" t="s">
        <v>25</v>
      </c>
      <c r="D469" s="16" t="s">
        <v>1091</v>
      </c>
      <c r="E469" s="16" t="s">
        <v>5</v>
      </c>
      <c r="F469" s="118" t="s">
        <v>1086</v>
      </c>
    </row>
    <row r="470" spans="1:6" x14ac:dyDescent="0.35">
      <c r="A470" t="s">
        <v>784</v>
      </c>
      <c r="B470" t="s">
        <v>785</v>
      </c>
      <c r="C470" t="s">
        <v>4</v>
      </c>
      <c r="D470" s="16" t="s">
        <v>1092</v>
      </c>
      <c r="E470" s="16" t="s">
        <v>5</v>
      </c>
      <c r="F470" s="118" t="s">
        <v>5</v>
      </c>
    </row>
    <row r="471" spans="1:6" x14ac:dyDescent="0.35">
      <c r="A471" t="s">
        <v>782</v>
      </c>
      <c r="B471" t="s">
        <v>783</v>
      </c>
      <c r="C471" t="s">
        <v>4</v>
      </c>
      <c r="D471" s="16" t="s">
        <v>1092</v>
      </c>
      <c r="E471" s="16" t="s">
        <v>5</v>
      </c>
      <c r="F471" s="118" t="s">
        <v>5</v>
      </c>
    </row>
    <row r="472" spans="1:6" x14ac:dyDescent="0.35">
      <c r="A472" t="s">
        <v>780</v>
      </c>
      <c r="B472" t="s">
        <v>781</v>
      </c>
      <c r="C472" t="s">
        <v>25</v>
      </c>
      <c r="D472" s="16" t="s">
        <v>1091</v>
      </c>
      <c r="E472" s="16" t="s">
        <v>5</v>
      </c>
      <c r="F472" s="118" t="s">
        <v>5</v>
      </c>
    </row>
    <row r="473" spans="1:6" x14ac:dyDescent="0.35">
      <c r="A473" t="s">
        <v>778</v>
      </c>
      <c r="B473" t="s">
        <v>779</v>
      </c>
      <c r="C473" t="s">
        <v>8</v>
      </c>
      <c r="D473" s="16" t="s">
        <v>1090</v>
      </c>
      <c r="E473" s="16" t="s">
        <v>5</v>
      </c>
      <c r="F473" s="118" t="s">
        <v>5</v>
      </c>
    </row>
    <row r="474" spans="1:6" x14ac:dyDescent="0.35">
      <c r="A474" t="s">
        <v>776</v>
      </c>
      <c r="B474" t="s">
        <v>777</v>
      </c>
      <c r="C474" t="s">
        <v>25</v>
      </c>
      <c r="D474" s="16" t="s">
        <v>1091</v>
      </c>
      <c r="E474" s="16" t="s">
        <v>5</v>
      </c>
      <c r="F474" s="118" t="s">
        <v>5</v>
      </c>
    </row>
    <row r="475" spans="1:6" x14ac:dyDescent="0.35">
      <c r="A475" t="s">
        <v>774</v>
      </c>
      <c r="B475" t="s">
        <v>775</v>
      </c>
      <c r="C475" t="s">
        <v>21</v>
      </c>
      <c r="D475" s="16" t="s">
        <v>519</v>
      </c>
      <c r="E475" s="16" t="s">
        <v>5</v>
      </c>
      <c r="F475" s="118" t="s">
        <v>1086</v>
      </c>
    </row>
  </sheetData>
  <autoFilter ref="A1:F475" xr:uid="{E3966317-B39A-4BB8-9E67-CF794164E56E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87C4-6261-40F0-8756-F924F813E9AE}">
  <dimension ref="B1:BB90"/>
  <sheetViews>
    <sheetView zoomScale="85" zoomScaleNormal="85" workbookViewId="0">
      <pane xSplit="5" ySplit="4" topLeftCell="F16" activePane="bottomRight" state="frozen"/>
      <selection pane="topRight" activeCell="F1" sqref="F1"/>
      <selection pane="bottomLeft" activeCell="A5" sqref="A5"/>
      <selection pane="bottomRight" activeCell="C28" sqref="C28"/>
    </sheetView>
  </sheetViews>
  <sheetFormatPr defaultRowHeight="14.5" outlineLevelRow="1" x14ac:dyDescent="0.35"/>
  <cols>
    <col min="1" max="1" width="1.453125" customWidth="1"/>
    <col min="2" max="2" width="12.6328125" customWidth="1"/>
    <col min="3" max="3" width="73.08984375" customWidth="1"/>
    <col min="4" max="4" width="26.90625" style="16" customWidth="1"/>
    <col min="5" max="5" width="29.1796875" style="16" customWidth="1"/>
    <col min="6" max="6" width="13.54296875" style="16" customWidth="1"/>
    <col min="7" max="7" width="13.08984375" style="16" customWidth="1"/>
    <col min="8" max="8" width="4.81640625" hidden="1" customWidth="1"/>
    <col min="9" max="52" width="4.81640625" customWidth="1"/>
    <col min="53" max="53" width="10.1796875" bestFit="1" customWidth="1"/>
    <col min="222" max="223" width="2.7265625" customWidth="1"/>
    <col min="224" max="224" width="4.7265625" customWidth="1"/>
    <col min="225" max="225" width="38.453125" bestFit="1" customWidth="1"/>
    <col min="226" max="226" width="8.26953125" customWidth="1"/>
    <col min="228" max="228" width="8.54296875" customWidth="1"/>
    <col min="229" max="229" width="9" customWidth="1"/>
    <col min="230" max="232" width="0" hidden="1" customWidth="1"/>
    <col min="233" max="233" width="13.7265625" customWidth="1"/>
    <col min="234" max="237" width="0" hidden="1" customWidth="1"/>
    <col min="238" max="238" width="13.7265625" customWidth="1"/>
    <col min="239" max="243" width="0" hidden="1" customWidth="1"/>
    <col min="244" max="244" width="14.453125" bestFit="1" customWidth="1"/>
    <col min="245" max="248" width="0" hidden="1" customWidth="1"/>
    <col min="249" max="249" width="14.453125" customWidth="1"/>
    <col min="250" max="253" width="0" hidden="1" customWidth="1"/>
    <col min="254" max="254" width="14" customWidth="1"/>
    <col min="255" max="259" width="0" hidden="1" customWidth="1"/>
    <col min="260" max="260" width="14" customWidth="1"/>
    <col min="261" max="264" width="0" hidden="1" customWidth="1"/>
    <col min="265" max="265" width="13.7265625" customWidth="1"/>
    <col min="266" max="269" width="0" hidden="1" customWidth="1"/>
    <col min="270" max="270" width="14.453125" bestFit="1" customWidth="1"/>
    <col min="271" max="275" width="0" hidden="1" customWidth="1"/>
    <col min="276" max="276" width="14.453125" customWidth="1"/>
    <col min="277" max="280" width="0" hidden="1" customWidth="1"/>
    <col min="281" max="281" width="15.26953125" bestFit="1" customWidth="1"/>
    <col min="282" max="283" width="0" hidden="1" customWidth="1"/>
    <col min="284" max="284" width="14" customWidth="1"/>
    <col min="285" max="285" width="10.7265625" customWidth="1"/>
    <col min="478" max="479" width="2.7265625" customWidth="1"/>
    <col min="480" max="480" width="4.7265625" customWidth="1"/>
    <col min="481" max="481" width="38.453125" bestFit="1" customWidth="1"/>
    <col min="482" max="482" width="8.26953125" customWidth="1"/>
    <col min="484" max="484" width="8.54296875" customWidth="1"/>
    <col min="485" max="485" width="9" customWidth="1"/>
    <col min="486" max="488" width="0" hidden="1" customWidth="1"/>
    <col min="489" max="489" width="13.7265625" customWidth="1"/>
    <col min="490" max="493" width="0" hidden="1" customWidth="1"/>
    <col min="494" max="494" width="13.7265625" customWidth="1"/>
    <col min="495" max="499" width="0" hidden="1" customWidth="1"/>
    <col min="500" max="500" width="14.453125" bestFit="1" customWidth="1"/>
    <col min="501" max="504" width="0" hidden="1" customWidth="1"/>
    <col min="505" max="505" width="14.453125" customWidth="1"/>
    <col min="506" max="509" width="0" hidden="1" customWidth="1"/>
    <col min="510" max="510" width="14" customWidth="1"/>
    <col min="511" max="515" width="0" hidden="1" customWidth="1"/>
    <col min="516" max="516" width="14" customWidth="1"/>
    <col min="517" max="520" width="0" hidden="1" customWidth="1"/>
    <col min="521" max="521" width="13.7265625" customWidth="1"/>
    <col min="522" max="525" width="0" hidden="1" customWidth="1"/>
    <col min="526" max="526" width="14.453125" bestFit="1" customWidth="1"/>
    <col min="527" max="531" width="0" hidden="1" customWidth="1"/>
    <col min="532" max="532" width="14.453125" customWidth="1"/>
    <col min="533" max="536" width="0" hidden="1" customWidth="1"/>
    <col min="537" max="537" width="15.26953125" bestFit="1" customWidth="1"/>
    <col min="538" max="539" width="0" hidden="1" customWidth="1"/>
    <col min="540" max="540" width="14" customWidth="1"/>
    <col min="541" max="541" width="10.7265625" customWidth="1"/>
    <col min="734" max="735" width="2.7265625" customWidth="1"/>
    <col min="736" max="736" width="4.7265625" customWidth="1"/>
    <col min="737" max="737" width="38.453125" bestFit="1" customWidth="1"/>
    <col min="738" max="738" width="8.26953125" customWidth="1"/>
    <col min="740" max="740" width="8.54296875" customWidth="1"/>
    <col min="741" max="741" width="9" customWidth="1"/>
    <col min="742" max="744" width="0" hidden="1" customWidth="1"/>
    <col min="745" max="745" width="13.7265625" customWidth="1"/>
    <col min="746" max="749" width="0" hidden="1" customWidth="1"/>
    <col min="750" max="750" width="13.7265625" customWidth="1"/>
    <col min="751" max="755" width="0" hidden="1" customWidth="1"/>
    <col min="756" max="756" width="14.453125" bestFit="1" customWidth="1"/>
    <col min="757" max="760" width="0" hidden="1" customWidth="1"/>
    <col min="761" max="761" width="14.453125" customWidth="1"/>
    <col min="762" max="765" width="0" hidden="1" customWidth="1"/>
    <col min="766" max="766" width="14" customWidth="1"/>
    <col min="767" max="771" width="0" hidden="1" customWidth="1"/>
    <col min="772" max="772" width="14" customWidth="1"/>
    <col min="773" max="776" width="0" hidden="1" customWidth="1"/>
    <col min="777" max="777" width="13.7265625" customWidth="1"/>
    <col min="778" max="781" width="0" hidden="1" customWidth="1"/>
    <col min="782" max="782" width="14.453125" bestFit="1" customWidth="1"/>
    <col min="783" max="787" width="0" hidden="1" customWidth="1"/>
    <col min="788" max="788" width="14.453125" customWidth="1"/>
    <col min="789" max="792" width="0" hidden="1" customWidth="1"/>
    <col min="793" max="793" width="15.26953125" bestFit="1" customWidth="1"/>
    <col min="794" max="795" width="0" hidden="1" customWidth="1"/>
    <col min="796" max="796" width="14" customWidth="1"/>
    <col min="797" max="797" width="10.7265625" customWidth="1"/>
    <col min="990" max="991" width="2.7265625" customWidth="1"/>
    <col min="992" max="992" width="4.7265625" customWidth="1"/>
    <col min="993" max="993" width="38.453125" bestFit="1" customWidth="1"/>
    <col min="994" max="994" width="8.26953125" customWidth="1"/>
    <col min="996" max="996" width="8.54296875" customWidth="1"/>
    <col min="997" max="997" width="9" customWidth="1"/>
    <col min="998" max="1000" width="0" hidden="1" customWidth="1"/>
    <col min="1001" max="1001" width="13.7265625" customWidth="1"/>
    <col min="1002" max="1005" width="0" hidden="1" customWidth="1"/>
    <col min="1006" max="1006" width="13.7265625" customWidth="1"/>
    <col min="1007" max="1011" width="0" hidden="1" customWidth="1"/>
    <col min="1012" max="1012" width="14.453125" bestFit="1" customWidth="1"/>
    <col min="1013" max="1016" width="0" hidden="1" customWidth="1"/>
    <col min="1017" max="1017" width="14.453125" customWidth="1"/>
    <col min="1018" max="1021" width="0" hidden="1" customWidth="1"/>
    <col min="1022" max="1022" width="14" customWidth="1"/>
    <col min="1023" max="1027" width="0" hidden="1" customWidth="1"/>
    <col min="1028" max="1028" width="14" customWidth="1"/>
    <col min="1029" max="1032" width="0" hidden="1" customWidth="1"/>
    <col min="1033" max="1033" width="13.7265625" customWidth="1"/>
    <col min="1034" max="1037" width="0" hidden="1" customWidth="1"/>
    <col min="1038" max="1038" width="14.453125" bestFit="1" customWidth="1"/>
    <col min="1039" max="1043" width="0" hidden="1" customWidth="1"/>
    <col min="1044" max="1044" width="14.453125" customWidth="1"/>
    <col min="1045" max="1048" width="0" hidden="1" customWidth="1"/>
    <col min="1049" max="1049" width="15.26953125" bestFit="1" customWidth="1"/>
    <col min="1050" max="1051" width="0" hidden="1" customWidth="1"/>
    <col min="1052" max="1052" width="14" customWidth="1"/>
    <col min="1053" max="1053" width="10.7265625" customWidth="1"/>
    <col min="1246" max="1247" width="2.7265625" customWidth="1"/>
    <col min="1248" max="1248" width="4.7265625" customWidth="1"/>
    <col min="1249" max="1249" width="38.453125" bestFit="1" customWidth="1"/>
    <col min="1250" max="1250" width="8.26953125" customWidth="1"/>
    <col min="1252" max="1252" width="8.54296875" customWidth="1"/>
    <col min="1253" max="1253" width="9" customWidth="1"/>
    <col min="1254" max="1256" width="0" hidden="1" customWidth="1"/>
    <col min="1257" max="1257" width="13.7265625" customWidth="1"/>
    <col min="1258" max="1261" width="0" hidden="1" customWidth="1"/>
    <col min="1262" max="1262" width="13.7265625" customWidth="1"/>
    <col min="1263" max="1267" width="0" hidden="1" customWidth="1"/>
    <col min="1268" max="1268" width="14.453125" bestFit="1" customWidth="1"/>
    <col min="1269" max="1272" width="0" hidden="1" customWidth="1"/>
    <col min="1273" max="1273" width="14.453125" customWidth="1"/>
    <col min="1274" max="1277" width="0" hidden="1" customWidth="1"/>
    <col min="1278" max="1278" width="14" customWidth="1"/>
    <col min="1279" max="1283" width="0" hidden="1" customWidth="1"/>
    <col min="1284" max="1284" width="14" customWidth="1"/>
    <col min="1285" max="1288" width="0" hidden="1" customWidth="1"/>
    <col min="1289" max="1289" width="13.7265625" customWidth="1"/>
    <col min="1290" max="1293" width="0" hidden="1" customWidth="1"/>
    <col min="1294" max="1294" width="14.453125" bestFit="1" customWidth="1"/>
    <col min="1295" max="1299" width="0" hidden="1" customWidth="1"/>
    <col min="1300" max="1300" width="14.453125" customWidth="1"/>
    <col min="1301" max="1304" width="0" hidden="1" customWidth="1"/>
    <col min="1305" max="1305" width="15.26953125" bestFit="1" customWidth="1"/>
    <col min="1306" max="1307" width="0" hidden="1" customWidth="1"/>
    <col min="1308" max="1308" width="14" customWidth="1"/>
    <col min="1309" max="1309" width="10.7265625" customWidth="1"/>
    <col min="1502" max="1503" width="2.7265625" customWidth="1"/>
    <col min="1504" max="1504" width="4.7265625" customWidth="1"/>
    <col min="1505" max="1505" width="38.453125" bestFit="1" customWidth="1"/>
    <col min="1506" max="1506" width="8.26953125" customWidth="1"/>
    <col min="1508" max="1508" width="8.54296875" customWidth="1"/>
    <col min="1509" max="1509" width="9" customWidth="1"/>
    <col min="1510" max="1512" width="0" hidden="1" customWidth="1"/>
    <col min="1513" max="1513" width="13.7265625" customWidth="1"/>
    <col min="1514" max="1517" width="0" hidden="1" customWidth="1"/>
    <col min="1518" max="1518" width="13.7265625" customWidth="1"/>
    <col min="1519" max="1523" width="0" hidden="1" customWidth="1"/>
    <col min="1524" max="1524" width="14.453125" bestFit="1" customWidth="1"/>
    <col min="1525" max="1528" width="0" hidden="1" customWidth="1"/>
    <col min="1529" max="1529" width="14.453125" customWidth="1"/>
    <col min="1530" max="1533" width="0" hidden="1" customWidth="1"/>
    <col min="1534" max="1534" width="14" customWidth="1"/>
    <col min="1535" max="1539" width="0" hidden="1" customWidth="1"/>
    <col min="1540" max="1540" width="14" customWidth="1"/>
    <col min="1541" max="1544" width="0" hidden="1" customWidth="1"/>
    <col min="1545" max="1545" width="13.7265625" customWidth="1"/>
    <col min="1546" max="1549" width="0" hidden="1" customWidth="1"/>
    <col min="1550" max="1550" width="14.453125" bestFit="1" customWidth="1"/>
    <col min="1551" max="1555" width="0" hidden="1" customWidth="1"/>
    <col min="1556" max="1556" width="14.453125" customWidth="1"/>
    <col min="1557" max="1560" width="0" hidden="1" customWidth="1"/>
    <col min="1561" max="1561" width="15.26953125" bestFit="1" customWidth="1"/>
    <col min="1562" max="1563" width="0" hidden="1" customWidth="1"/>
    <col min="1564" max="1564" width="14" customWidth="1"/>
    <col min="1565" max="1565" width="10.7265625" customWidth="1"/>
    <col min="1758" max="1759" width="2.7265625" customWidth="1"/>
    <col min="1760" max="1760" width="4.7265625" customWidth="1"/>
    <col min="1761" max="1761" width="38.453125" bestFit="1" customWidth="1"/>
    <col min="1762" max="1762" width="8.26953125" customWidth="1"/>
    <col min="1764" max="1764" width="8.54296875" customWidth="1"/>
    <col min="1765" max="1765" width="9" customWidth="1"/>
    <col min="1766" max="1768" width="0" hidden="1" customWidth="1"/>
    <col min="1769" max="1769" width="13.7265625" customWidth="1"/>
    <col min="1770" max="1773" width="0" hidden="1" customWidth="1"/>
    <col min="1774" max="1774" width="13.7265625" customWidth="1"/>
    <col min="1775" max="1779" width="0" hidden="1" customWidth="1"/>
    <col min="1780" max="1780" width="14.453125" bestFit="1" customWidth="1"/>
    <col min="1781" max="1784" width="0" hidden="1" customWidth="1"/>
    <col min="1785" max="1785" width="14.453125" customWidth="1"/>
    <col min="1786" max="1789" width="0" hidden="1" customWidth="1"/>
    <col min="1790" max="1790" width="14" customWidth="1"/>
    <col min="1791" max="1795" width="0" hidden="1" customWidth="1"/>
    <col min="1796" max="1796" width="14" customWidth="1"/>
    <col min="1797" max="1800" width="0" hidden="1" customWidth="1"/>
    <col min="1801" max="1801" width="13.7265625" customWidth="1"/>
    <col min="1802" max="1805" width="0" hidden="1" customWidth="1"/>
    <col min="1806" max="1806" width="14.453125" bestFit="1" customWidth="1"/>
    <col min="1807" max="1811" width="0" hidden="1" customWidth="1"/>
    <col min="1812" max="1812" width="14.453125" customWidth="1"/>
    <col min="1813" max="1816" width="0" hidden="1" customWidth="1"/>
    <col min="1817" max="1817" width="15.26953125" bestFit="1" customWidth="1"/>
    <col min="1818" max="1819" width="0" hidden="1" customWidth="1"/>
    <col min="1820" max="1820" width="14" customWidth="1"/>
    <col min="1821" max="1821" width="10.7265625" customWidth="1"/>
    <col min="2014" max="2015" width="2.7265625" customWidth="1"/>
    <col min="2016" max="2016" width="4.7265625" customWidth="1"/>
    <col min="2017" max="2017" width="38.453125" bestFit="1" customWidth="1"/>
    <col min="2018" max="2018" width="8.26953125" customWidth="1"/>
    <col min="2020" max="2020" width="8.54296875" customWidth="1"/>
    <col min="2021" max="2021" width="9" customWidth="1"/>
    <col min="2022" max="2024" width="0" hidden="1" customWidth="1"/>
    <col min="2025" max="2025" width="13.7265625" customWidth="1"/>
    <col min="2026" max="2029" width="0" hidden="1" customWidth="1"/>
    <col min="2030" max="2030" width="13.7265625" customWidth="1"/>
    <col min="2031" max="2035" width="0" hidden="1" customWidth="1"/>
    <col min="2036" max="2036" width="14.453125" bestFit="1" customWidth="1"/>
    <col min="2037" max="2040" width="0" hidden="1" customWidth="1"/>
    <col min="2041" max="2041" width="14.453125" customWidth="1"/>
    <col min="2042" max="2045" width="0" hidden="1" customWidth="1"/>
    <col min="2046" max="2046" width="14" customWidth="1"/>
    <col min="2047" max="2051" width="0" hidden="1" customWidth="1"/>
    <col min="2052" max="2052" width="14" customWidth="1"/>
    <col min="2053" max="2056" width="0" hidden="1" customWidth="1"/>
    <col min="2057" max="2057" width="13.7265625" customWidth="1"/>
    <col min="2058" max="2061" width="0" hidden="1" customWidth="1"/>
    <col min="2062" max="2062" width="14.453125" bestFit="1" customWidth="1"/>
    <col min="2063" max="2067" width="0" hidden="1" customWidth="1"/>
    <col min="2068" max="2068" width="14.453125" customWidth="1"/>
    <col min="2069" max="2072" width="0" hidden="1" customWidth="1"/>
    <col min="2073" max="2073" width="15.26953125" bestFit="1" customWidth="1"/>
    <col min="2074" max="2075" width="0" hidden="1" customWidth="1"/>
    <col min="2076" max="2076" width="14" customWidth="1"/>
    <col min="2077" max="2077" width="10.7265625" customWidth="1"/>
    <col min="2270" max="2271" width="2.7265625" customWidth="1"/>
    <col min="2272" max="2272" width="4.7265625" customWidth="1"/>
    <col min="2273" max="2273" width="38.453125" bestFit="1" customWidth="1"/>
    <col min="2274" max="2274" width="8.26953125" customWidth="1"/>
    <col min="2276" max="2276" width="8.54296875" customWidth="1"/>
    <col min="2277" max="2277" width="9" customWidth="1"/>
    <col min="2278" max="2280" width="0" hidden="1" customWidth="1"/>
    <col min="2281" max="2281" width="13.7265625" customWidth="1"/>
    <col min="2282" max="2285" width="0" hidden="1" customWidth="1"/>
    <col min="2286" max="2286" width="13.7265625" customWidth="1"/>
    <col min="2287" max="2291" width="0" hidden="1" customWidth="1"/>
    <col min="2292" max="2292" width="14.453125" bestFit="1" customWidth="1"/>
    <col min="2293" max="2296" width="0" hidden="1" customWidth="1"/>
    <col min="2297" max="2297" width="14.453125" customWidth="1"/>
    <col min="2298" max="2301" width="0" hidden="1" customWidth="1"/>
    <col min="2302" max="2302" width="14" customWidth="1"/>
    <col min="2303" max="2307" width="0" hidden="1" customWidth="1"/>
    <col min="2308" max="2308" width="14" customWidth="1"/>
    <col min="2309" max="2312" width="0" hidden="1" customWidth="1"/>
    <col min="2313" max="2313" width="13.7265625" customWidth="1"/>
    <col min="2314" max="2317" width="0" hidden="1" customWidth="1"/>
    <col min="2318" max="2318" width="14.453125" bestFit="1" customWidth="1"/>
    <col min="2319" max="2323" width="0" hidden="1" customWidth="1"/>
    <col min="2324" max="2324" width="14.453125" customWidth="1"/>
    <col min="2325" max="2328" width="0" hidden="1" customWidth="1"/>
    <col min="2329" max="2329" width="15.26953125" bestFit="1" customWidth="1"/>
    <col min="2330" max="2331" width="0" hidden="1" customWidth="1"/>
    <col min="2332" max="2332" width="14" customWidth="1"/>
    <col min="2333" max="2333" width="10.7265625" customWidth="1"/>
    <col min="2526" max="2527" width="2.7265625" customWidth="1"/>
    <col min="2528" max="2528" width="4.7265625" customWidth="1"/>
    <col min="2529" max="2529" width="38.453125" bestFit="1" customWidth="1"/>
    <col min="2530" max="2530" width="8.26953125" customWidth="1"/>
    <col min="2532" max="2532" width="8.54296875" customWidth="1"/>
    <col min="2533" max="2533" width="9" customWidth="1"/>
    <col min="2534" max="2536" width="0" hidden="1" customWidth="1"/>
    <col min="2537" max="2537" width="13.7265625" customWidth="1"/>
    <col min="2538" max="2541" width="0" hidden="1" customWidth="1"/>
    <col min="2542" max="2542" width="13.7265625" customWidth="1"/>
    <col min="2543" max="2547" width="0" hidden="1" customWidth="1"/>
    <col min="2548" max="2548" width="14.453125" bestFit="1" customWidth="1"/>
    <col min="2549" max="2552" width="0" hidden="1" customWidth="1"/>
    <col min="2553" max="2553" width="14.453125" customWidth="1"/>
    <col min="2554" max="2557" width="0" hidden="1" customWidth="1"/>
    <col min="2558" max="2558" width="14" customWidth="1"/>
    <col min="2559" max="2563" width="0" hidden="1" customWidth="1"/>
    <col min="2564" max="2564" width="14" customWidth="1"/>
    <col min="2565" max="2568" width="0" hidden="1" customWidth="1"/>
    <col min="2569" max="2569" width="13.7265625" customWidth="1"/>
    <col min="2570" max="2573" width="0" hidden="1" customWidth="1"/>
    <col min="2574" max="2574" width="14.453125" bestFit="1" customWidth="1"/>
    <col min="2575" max="2579" width="0" hidden="1" customWidth="1"/>
    <col min="2580" max="2580" width="14.453125" customWidth="1"/>
    <col min="2581" max="2584" width="0" hidden="1" customWidth="1"/>
    <col min="2585" max="2585" width="15.26953125" bestFit="1" customWidth="1"/>
    <col min="2586" max="2587" width="0" hidden="1" customWidth="1"/>
    <col min="2588" max="2588" width="14" customWidth="1"/>
    <col min="2589" max="2589" width="10.7265625" customWidth="1"/>
    <col min="2782" max="2783" width="2.7265625" customWidth="1"/>
    <col min="2784" max="2784" width="4.7265625" customWidth="1"/>
    <col min="2785" max="2785" width="38.453125" bestFit="1" customWidth="1"/>
    <col min="2786" max="2786" width="8.26953125" customWidth="1"/>
    <col min="2788" max="2788" width="8.54296875" customWidth="1"/>
    <col min="2789" max="2789" width="9" customWidth="1"/>
    <col min="2790" max="2792" width="0" hidden="1" customWidth="1"/>
    <col min="2793" max="2793" width="13.7265625" customWidth="1"/>
    <col min="2794" max="2797" width="0" hidden="1" customWidth="1"/>
    <col min="2798" max="2798" width="13.7265625" customWidth="1"/>
    <col min="2799" max="2803" width="0" hidden="1" customWidth="1"/>
    <col min="2804" max="2804" width="14.453125" bestFit="1" customWidth="1"/>
    <col min="2805" max="2808" width="0" hidden="1" customWidth="1"/>
    <col min="2809" max="2809" width="14.453125" customWidth="1"/>
    <col min="2810" max="2813" width="0" hidden="1" customWidth="1"/>
    <col min="2814" max="2814" width="14" customWidth="1"/>
    <col min="2815" max="2819" width="0" hidden="1" customWidth="1"/>
    <col min="2820" max="2820" width="14" customWidth="1"/>
    <col min="2821" max="2824" width="0" hidden="1" customWidth="1"/>
    <col min="2825" max="2825" width="13.7265625" customWidth="1"/>
    <col min="2826" max="2829" width="0" hidden="1" customWidth="1"/>
    <col min="2830" max="2830" width="14.453125" bestFit="1" customWidth="1"/>
    <col min="2831" max="2835" width="0" hidden="1" customWidth="1"/>
    <col min="2836" max="2836" width="14.453125" customWidth="1"/>
    <col min="2837" max="2840" width="0" hidden="1" customWidth="1"/>
    <col min="2841" max="2841" width="15.26953125" bestFit="1" customWidth="1"/>
    <col min="2842" max="2843" width="0" hidden="1" customWidth="1"/>
    <col min="2844" max="2844" width="14" customWidth="1"/>
    <col min="2845" max="2845" width="10.7265625" customWidth="1"/>
    <col min="3038" max="3039" width="2.7265625" customWidth="1"/>
    <col min="3040" max="3040" width="4.7265625" customWidth="1"/>
    <col min="3041" max="3041" width="38.453125" bestFit="1" customWidth="1"/>
    <col min="3042" max="3042" width="8.26953125" customWidth="1"/>
    <col min="3044" max="3044" width="8.54296875" customWidth="1"/>
    <col min="3045" max="3045" width="9" customWidth="1"/>
    <col min="3046" max="3048" width="0" hidden="1" customWidth="1"/>
    <col min="3049" max="3049" width="13.7265625" customWidth="1"/>
    <col min="3050" max="3053" width="0" hidden="1" customWidth="1"/>
    <col min="3054" max="3054" width="13.7265625" customWidth="1"/>
    <col min="3055" max="3059" width="0" hidden="1" customWidth="1"/>
    <col min="3060" max="3060" width="14.453125" bestFit="1" customWidth="1"/>
    <col min="3061" max="3064" width="0" hidden="1" customWidth="1"/>
    <col min="3065" max="3065" width="14.453125" customWidth="1"/>
    <col min="3066" max="3069" width="0" hidden="1" customWidth="1"/>
    <col min="3070" max="3070" width="14" customWidth="1"/>
    <col min="3071" max="3075" width="0" hidden="1" customWidth="1"/>
    <col min="3076" max="3076" width="14" customWidth="1"/>
    <col min="3077" max="3080" width="0" hidden="1" customWidth="1"/>
    <col min="3081" max="3081" width="13.7265625" customWidth="1"/>
    <col min="3082" max="3085" width="0" hidden="1" customWidth="1"/>
    <col min="3086" max="3086" width="14.453125" bestFit="1" customWidth="1"/>
    <col min="3087" max="3091" width="0" hidden="1" customWidth="1"/>
    <col min="3092" max="3092" width="14.453125" customWidth="1"/>
    <col min="3093" max="3096" width="0" hidden="1" customWidth="1"/>
    <col min="3097" max="3097" width="15.26953125" bestFit="1" customWidth="1"/>
    <col min="3098" max="3099" width="0" hidden="1" customWidth="1"/>
    <col min="3100" max="3100" width="14" customWidth="1"/>
    <col min="3101" max="3101" width="10.7265625" customWidth="1"/>
    <col min="3294" max="3295" width="2.7265625" customWidth="1"/>
    <col min="3296" max="3296" width="4.7265625" customWidth="1"/>
    <col min="3297" max="3297" width="38.453125" bestFit="1" customWidth="1"/>
    <col min="3298" max="3298" width="8.26953125" customWidth="1"/>
    <col min="3300" max="3300" width="8.54296875" customWidth="1"/>
    <col min="3301" max="3301" width="9" customWidth="1"/>
    <col min="3302" max="3304" width="0" hidden="1" customWidth="1"/>
    <col min="3305" max="3305" width="13.7265625" customWidth="1"/>
    <col min="3306" max="3309" width="0" hidden="1" customWidth="1"/>
    <col min="3310" max="3310" width="13.7265625" customWidth="1"/>
    <col min="3311" max="3315" width="0" hidden="1" customWidth="1"/>
    <col min="3316" max="3316" width="14.453125" bestFit="1" customWidth="1"/>
    <col min="3317" max="3320" width="0" hidden="1" customWidth="1"/>
    <col min="3321" max="3321" width="14.453125" customWidth="1"/>
    <col min="3322" max="3325" width="0" hidden="1" customWidth="1"/>
    <col min="3326" max="3326" width="14" customWidth="1"/>
    <col min="3327" max="3331" width="0" hidden="1" customWidth="1"/>
    <col min="3332" max="3332" width="14" customWidth="1"/>
    <col min="3333" max="3336" width="0" hidden="1" customWidth="1"/>
    <col min="3337" max="3337" width="13.7265625" customWidth="1"/>
    <col min="3338" max="3341" width="0" hidden="1" customWidth="1"/>
    <col min="3342" max="3342" width="14.453125" bestFit="1" customWidth="1"/>
    <col min="3343" max="3347" width="0" hidden="1" customWidth="1"/>
    <col min="3348" max="3348" width="14.453125" customWidth="1"/>
    <col min="3349" max="3352" width="0" hidden="1" customWidth="1"/>
    <col min="3353" max="3353" width="15.26953125" bestFit="1" customWidth="1"/>
    <col min="3354" max="3355" width="0" hidden="1" customWidth="1"/>
    <col min="3356" max="3356" width="14" customWidth="1"/>
    <col min="3357" max="3357" width="10.7265625" customWidth="1"/>
    <col min="3550" max="3551" width="2.7265625" customWidth="1"/>
    <col min="3552" max="3552" width="4.7265625" customWidth="1"/>
    <col min="3553" max="3553" width="38.453125" bestFit="1" customWidth="1"/>
    <col min="3554" max="3554" width="8.26953125" customWidth="1"/>
    <col min="3556" max="3556" width="8.54296875" customWidth="1"/>
    <col min="3557" max="3557" width="9" customWidth="1"/>
    <col min="3558" max="3560" width="0" hidden="1" customWidth="1"/>
    <col min="3561" max="3561" width="13.7265625" customWidth="1"/>
    <col min="3562" max="3565" width="0" hidden="1" customWidth="1"/>
    <col min="3566" max="3566" width="13.7265625" customWidth="1"/>
    <col min="3567" max="3571" width="0" hidden="1" customWidth="1"/>
    <col min="3572" max="3572" width="14.453125" bestFit="1" customWidth="1"/>
    <col min="3573" max="3576" width="0" hidden="1" customWidth="1"/>
    <col min="3577" max="3577" width="14.453125" customWidth="1"/>
    <col min="3578" max="3581" width="0" hidden="1" customWidth="1"/>
    <col min="3582" max="3582" width="14" customWidth="1"/>
    <col min="3583" max="3587" width="0" hidden="1" customWidth="1"/>
    <col min="3588" max="3588" width="14" customWidth="1"/>
    <col min="3589" max="3592" width="0" hidden="1" customWidth="1"/>
    <col min="3593" max="3593" width="13.7265625" customWidth="1"/>
    <col min="3594" max="3597" width="0" hidden="1" customWidth="1"/>
    <col min="3598" max="3598" width="14.453125" bestFit="1" customWidth="1"/>
    <col min="3599" max="3603" width="0" hidden="1" customWidth="1"/>
    <col min="3604" max="3604" width="14.453125" customWidth="1"/>
    <col min="3605" max="3608" width="0" hidden="1" customWidth="1"/>
    <col min="3609" max="3609" width="15.26953125" bestFit="1" customWidth="1"/>
    <col min="3610" max="3611" width="0" hidden="1" customWidth="1"/>
    <col min="3612" max="3612" width="14" customWidth="1"/>
    <col min="3613" max="3613" width="10.7265625" customWidth="1"/>
    <col min="3806" max="3807" width="2.7265625" customWidth="1"/>
    <col min="3808" max="3808" width="4.7265625" customWidth="1"/>
    <col min="3809" max="3809" width="38.453125" bestFit="1" customWidth="1"/>
    <col min="3810" max="3810" width="8.26953125" customWidth="1"/>
    <col min="3812" max="3812" width="8.54296875" customWidth="1"/>
    <col min="3813" max="3813" width="9" customWidth="1"/>
    <col min="3814" max="3816" width="0" hidden="1" customWidth="1"/>
    <col min="3817" max="3817" width="13.7265625" customWidth="1"/>
    <col min="3818" max="3821" width="0" hidden="1" customWidth="1"/>
    <col min="3822" max="3822" width="13.7265625" customWidth="1"/>
    <col min="3823" max="3827" width="0" hidden="1" customWidth="1"/>
    <col min="3828" max="3828" width="14.453125" bestFit="1" customWidth="1"/>
    <col min="3829" max="3832" width="0" hidden="1" customWidth="1"/>
    <col min="3833" max="3833" width="14.453125" customWidth="1"/>
    <col min="3834" max="3837" width="0" hidden="1" customWidth="1"/>
    <col min="3838" max="3838" width="14" customWidth="1"/>
    <col min="3839" max="3843" width="0" hidden="1" customWidth="1"/>
    <col min="3844" max="3844" width="14" customWidth="1"/>
    <col min="3845" max="3848" width="0" hidden="1" customWidth="1"/>
    <col min="3849" max="3849" width="13.7265625" customWidth="1"/>
    <col min="3850" max="3853" width="0" hidden="1" customWidth="1"/>
    <col min="3854" max="3854" width="14.453125" bestFit="1" customWidth="1"/>
    <col min="3855" max="3859" width="0" hidden="1" customWidth="1"/>
    <col min="3860" max="3860" width="14.453125" customWidth="1"/>
    <col min="3861" max="3864" width="0" hidden="1" customWidth="1"/>
    <col min="3865" max="3865" width="15.26953125" bestFit="1" customWidth="1"/>
    <col min="3866" max="3867" width="0" hidden="1" customWidth="1"/>
    <col min="3868" max="3868" width="14" customWidth="1"/>
    <col min="3869" max="3869" width="10.7265625" customWidth="1"/>
    <col min="4062" max="4063" width="2.7265625" customWidth="1"/>
    <col min="4064" max="4064" width="4.7265625" customWidth="1"/>
    <col min="4065" max="4065" width="38.453125" bestFit="1" customWidth="1"/>
    <col min="4066" max="4066" width="8.26953125" customWidth="1"/>
    <col min="4068" max="4068" width="8.54296875" customWidth="1"/>
    <col min="4069" max="4069" width="9" customWidth="1"/>
    <col min="4070" max="4072" width="0" hidden="1" customWidth="1"/>
    <col min="4073" max="4073" width="13.7265625" customWidth="1"/>
    <col min="4074" max="4077" width="0" hidden="1" customWidth="1"/>
    <col min="4078" max="4078" width="13.7265625" customWidth="1"/>
    <col min="4079" max="4083" width="0" hidden="1" customWidth="1"/>
    <col min="4084" max="4084" width="14.453125" bestFit="1" customWidth="1"/>
    <col min="4085" max="4088" width="0" hidden="1" customWidth="1"/>
    <col min="4089" max="4089" width="14.453125" customWidth="1"/>
    <col min="4090" max="4093" width="0" hidden="1" customWidth="1"/>
    <col min="4094" max="4094" width="14" customWidth="1"/>
    <col min="4095" max="4099" width="0" hidden="1" customWidth="1"/>
    <col min="4100" max="4100" width="14" customWidth="1"/>
    <col min="4101" max="4104" width="0" hidden="1" customWidth="1"/>
    <col min="4105" max="4105" width="13.7265625" customWidth="1"/>
    <col min="4106" max="4109" width="0" hidden="1" customWidth="1"/>
    <col min="4110" max="4110" width="14.453125" bestFit="1" customWidth="1"/>
    <col min="4111" max="4115" width="0" hidden="1" customWidth="1"/>
    <col min="4116" max="4116" width="14.453125" customWidth="1"/>
    <col min="4117" max="4120" width="0" hidden="1" customWidth="1"/>
    <col min="4121" max="4121" width="15.26953125" bestFit="1" customWidth="1"/>
    <col min="4122" max="4123" width="0" hidden="1" customWidth="1"/>
    <col min="4124" max="4124" width="14" customWidth="1"/>
    <col min="4125" max="4125" width="10.7265625" customWidth="1"/>
    <col min="4318" max="4319" width="2.7265625" customWidth="1"/>
    <col min="4320" max="4320" width="4.7265625" customWidth="1"/>
    <col min="4321" max="4321" width="38.453125" bestFit="1" customWidth="1"/>
    <col min="4322" max="4322" width="8.26953125" customWidth="1"/>
    <col min="4324" max="4324" width="8.54296875" customWidth="1"/>
    <col min="4325" max="4325" width="9" customWidth="1"/>
    <col min="4326" max="4328" width="0" hidden="1" customWidth="1"/>
    <col min="4329" max="4329" width="13.7265625" customWidth="1"/>
    <col min="4330" max="4333" width="0" hidden="1" customWidth="1"/>
    <col min="4334" max="4334" width="13.7265625" customWidth="1"/>
    <col min="4335" max="4339" width="0" hidden="1" customWidth="1"/>
    <col min="4340" max="4340" width="14.453125" bestFit="1" customWidth="1"/>
    <col min="4341" max="4344" width="0" hidden="1" customWidth="1"/>
    <col min="4345" max="4345" width="14.453125" customWidth="1"/>
    <col min="4346" max="4349" width="0" hidden="1" customWidth="1"/>
    <col min="4350" max="4350" width="14" customWidth="1"/>
    <col min="4351" max="4355" width="0" hidden="1" customWidth="1"/>
    <col min="4356" max="4356" width="14" customWidth="1"/>
    <col min="4357" max="4360" width="0" hidden="1" customWidth="1"/>
    <col min="4361" max="4361" width="13.7265625" customWidth="1"/>
    <col min="4362" max="4365" width="0" hidden="1" customWidth="1"/>
    <col min="4366" max="4366" width="14.453125" bestFit="1" customWidth="1"/>
    <col min="4367" max="4371" width="0" hidden="1" customWidth="1"/>
    <col min="4372" max="4372" width="14.453125" customWidth="1"/>
    <col min="4373" max="4376" width="0" hidden="1" customWidth="1"/>
    <col min="4377" max="4377" width="15.26953125" bestFit="1" customWidth="1"/>
    <col min="4378" max="4379" width="0" hidden="1" customWidth="1"/>
    <col min="4380" max="4380" width="14" customWidth="1"/>
    <col min="4381" max="4381" width="10.7265625" customWidth="1"/>
    <col min="4574" max="4575" width="2.7265625" customWidth="1"/>
    <col min="4576" max="4576" width="4.7265625" customWidth="1"/>
    <col min="4577" max="4577" width="38.453125" bestFit="1" customWidth="1"/>
    <col min="4578" max="4578" width="8.26953125" customWidth="1"/>
    <col min="4580" max="4580" width="8.54296875" customWidth="1"/>
    <col min="4581" max="4581" width="9" customWidth="1"/>
    <col min="4582" max="4584" width="0" hidden="1" customWidth="1"/>
    <col min="4585" max="4585" width="13.7265625" customWidth="1"/>
    <col min="4586" max="4589" width="0" hidden="1" customWidth="1"/>
    <col min="4590" max="4590" width="13.7265625" customWidth="1"/>
    <col min="4591" max="4595" width="0" hidden="1" customWidth="1"/>
    <col min="4596" max="4596" width="14.453125" bestFit="1" customWidth="1"/>
    <col min="4597" max="4600" width="0" hidden="1" customWidth="1"/>
    <col min="4601" max="4601" width="14.453125" customWidth="1"/>
    <col min="4602" max="4605" width="0" hidden="1" customWidth="1"/>
    <col min="4606" max="4606" width="14" customWidth="1"/>
    <col min="4607" max="4611" width="0" hidden="1" customWidth="1"/>
    <col min="4612" max="4612" width="14" customWidth="1"/>
    <col min="4613" max="4616" width="0" hidden="1" customWidth="1"/>
    <col min="4617" max="4617" width="13.7265625" customWidth="1"/>
    <col min="4618" max="4621" width="0" hidden="1" customWidth="1"/>
    <col min="4622" max="4622" width="14.453125" bestFit="1" customWidth="1"/>
    <col min="4623" max="4627" width="0" hidden="1" customWidth="1"/>
    <col min="4628" max="4628" width="14.453125" customWidth="1"/>
    <col min="4629" max="4632" width="0" hidden="1" customWidth="1"/>
    <col min="4633" max="4633" width="15.26953125" bestFit="1" customWidth="1"/>
    <col min="4634" max="4635" width="0" hidden="1" customWidth="1"/>
    <col min="4636" max="4636" width="14" customWidth="1"/>
    <col min="4637" max="4637" width="10.7265625" customWidth="1"/>
    <col min="4830" max="4831" width="2.7265625" customWidth="1"/>
    <col min="4832" max="4832" width="4.7265625" customWidth="1"/>
    <col min="4833" max="4833" width="38.453125" bestFit="1" customWidth="1"/>
    <col min="4834" max="4834" width="8.26953125" customWidth="1"/>
    <col min="4836" max="4836" width="8.54296875" customWidth="1"/>
    <col min="4837" max="4837" width="9" customWidth="1"/>
    <col min="4838" max="4840" width="0" hidden="1" customWidth="1"/>
    <col min="4841" max="4841" width="13.7265625" customWidth="1"/>
    <col min="4842" max="4845" width="0" hidden="1" customWidth="1"/>
    <col min="4846" max="4846" width="13.7265625" customWidth="1"/>
    <col min="4847" max="4851" width="0" hidden="1" customWidth="1"/>
    <col min="4852" max="4852" width="14.453125" bestFit="1" customWidth="1"/>
    <col min="4853" max="4856" width="0" hidden="1" customWidth="1"/>
    <col min="4857" max="4857" width="14.453125" customWidth="1"/>
    <col min="4858" max="4861" width="0" hidden="1" customWidth="1"/>
    <col min="4862" max="4862" width="14" customWidth="1"/>
    <col min="4863" max="4867" width="0" hidden="1" customWidth="1"/>
    <col min="4868" max="4868" width="14" customWidth="1"/>
    <col min="4869" max="4872" width="0" hidden="1" customWidth="1"/>
    <col min="4873" max="4873" width="13.7265625" customWidth="1"/>
    <col min="4874" max="4877" width="0" hidden="1" customWidth="1"/>
    <col min="4878" max="4878" width="14.453125" bestFit="1" customWidth="1"/>
    <col min="4879" max="4883" width="0" hidden="1" customWidth="1"/>
    <col min="4884" max="4884" width="14.453125" customWidth="1"/>
    <col min="4885" max="4888" width="0" hidden="1" customWidth="1"/>
    <col min="4889" max="4889" width="15.26953125" bestFit="1" customWidth="1"/>
    <col min="4890" max="4891" width="0" hidden="1" customWidth="1"/>
    <col min="4892" max="4892" width="14" customWidth="1"/>
    <col min="4893" max="4893" width="10.7265625" customWidth="1"/>
    <col min="5086" max="5087" width="2.7265625" customWidth="1"/>
    <col min="5088" max="5088" width="4.7265625" customWidth="1"/>
    <col min="5089" max="5089" width="38.453125" bestFit="1" customWidth="1"/>
    <col min="5090" max="5090" width="8.26953125" customWidth="1"/>
    <col min="5092" max="5092" width="8.54296875" customWidth="1"/>
    <col min="5093" max="5093" width="9" customWidth="1"/>
    <col min="5094" max="5096" width="0" hidden="1" customWidth="1"/>
    <col min="5097" max="5097" width="13.7265625" customWidth="1"/>
    <col min="5098" max="5101" width="0" hidden="1" customWidth="1"/>
    <col min="5102" max="5102" width="13.7265625" customWidth="1"/>
    <col min="5103" max="5107" width="0" hidden="1" customWidth="1"/>
    <col min="5108" max="5108" width="14.453125" bestFit="1" customWidth="1"/>
    <col min="5109" max="5112" width="0" hidden="1" customWidth="1"/>
    <col min="5113" max="5113" width="14.453125" customWidth="1"/>
    <col min="5114" max="5117" width="0" hidden="1" customWidth="1"/>
    <col min="5118" max="5118" width="14" customWidth="1"/>
    <col min="5119" max="5123" width="0" hidden="1" customWidth="1"/>
    <col min="5124" max="5124" width="14" customWidth="1"/>
    <col min="5125" max="5128" width="0" hidden="1" customWidth="1"/>
    <col min="5129" max="5129" width="13.7265625" customWidth="1"/>
    <col min="5130" max="5133" width="0" hidden="1" customWidth="1"/>
    <col min="5134" max="5134" width="14.453125" bestFit="1" customWidth="1"/>
    <col min="5135" max="5139" width="0" hidden="1" customWidth="1"/>
    <col min="5140" max="5140" width="14.453125" customWidth="1"/>
    <col min="5141" max="5144" width="0" hidden="1" customWidth="1"/>
    <col min="5145" max="5145" width="15.26953125" bestFit="1" customWidth="1"/>
    <col min="5146" max="5147" width="0" hidden="1" customWidth="1"/>
    <col min="5148" max="5148" width="14" customWidth="1"/>
    <col min="5149" max="5149" width="10.7265625" customWidth="1"/>
    <col min="5342" max="5343" width="2.7265625" customWidth="1"/>
    <col min="5344" max="5344" width="4.7265625" customWidth="1"/>
    <col min="5345" max="5345" width="38.453125" bestFit="1" customWidth="1"/>
    <col min="5346" max="5346" width="8.26953125" customWidth="1"/>
    <col min="5348" max="5348" width="8.54296875" customWidth="1"/>
    <col min="5349" max="5349" width="9" customWidth="1"/>
    <col min="5350" max="5352" width="0" hidden="1" customWidth="1"/>
    <col min="5353" max="5353" width="13.7265625" customWidth="1"/>
    <col min="5354" max="5357" width="0" hidden="1" customWidth="1"/>
    <col min="5358" max="5358" width="13.7265625" customWidth="1"/>
    <col min="5359" max="5363" width="0" hidden="1" customWidth="1"/>
    <col min="5364" max="5364" width="14.453125" bestFit="1" customWidth="1"/>
    <col min="5365" max="5368" width="0" hidden="1" customWidth="1"/>
    <col min="5369" max="5369" width="14.453125" customWidth="1"/>
    <col min="5370" max="5373" width="0" hidden="1" customWidth="1"/>
    <col min="5374" max="5374" width="14" customWidth="1"/>
    <col min="5375" max="5379" width="0" hidden="1" customWidth="1"/>
    <col min="5380" max="5380" width="14" customWidth="1"/>
    <col min="5381" max="5384" width="0" hidden="1" customWidth="1"/>
    <col min="5385" max="5385" width="13.7265625" customWidth="1"/>
    <col min="5386" max="5389" width="0" hidden="1" customWidth="1"/>
    <col min="5390" max="5390" width="14.453125" bestFit="1" customWidth="1"/>
    <col min="5391" max="5395" width="0" hidden="1" customWidth="1"/>
    <col min="5396" max="5396" width="14.453125" customWidth="1"/>
    <col min="5397" max="5400" width="0" hidden="1" customWidth="1"/>
    <col min="5401" max="5401" width="15.26953125" bestFit="1" customWidth="1"/>
    <col min="5402" max="5403" width="0" hidden="1" customWidth="1"/>
    <col min="5404" max="5404" width="14" customWidth="1"/>
    <col min="5405" max="5405" width="10.7265625" customWidth="1"/>
    <col min="5598" max="5599" width="2.7265625" customWidth="1"/>
    <col min="5600" max="5600" width="4.7265625" customWidth="1"/>
    <col min="5601" max="5601" width="38.453125" bestFit="1" customWidth="1"/>
    <col min="5602" max="5602" width="8.26953125" customWidth="1"/>
    <col min="5604" max="5604" width="8.54296875" customWidth="1"/>
    <col min="5605" max="5605" width="9" customWidth="1"/>
    <col min="5606" max="5608" width="0" hidden="1" customWidth="1"/>
    <col min="5609" max="5609" width="13.7265625" customWidth="1"/>
    <col min="5610" max="5613" width="0" hidden="1" customWidth="1"/>
    <col min="5614" max="5614" width="13.7265625" customWidth="1"/>
    <col min="5615" max="5619" width="0" hidden="1" customWidth="1"/>
    <col min="5620" max="5620" width="14.453125" bestFit="1" customWidth="1"/>
    <col min="5621" max="5624" width="0" hidden="1" customWidth="1"/>
    <col min="5625" max="5625" width="14.453125" customWidth="1"/>
    <col min="5626" max="5629" width="0" hidden="1" customWidth="1"/>
    <col min="5630" max="5630" width="14" customWidth="1"/>
    <col min="5631" max="5635" width="0" hidden="1" customWidth="1"/>
    <col min="5636" max="5636" width="14" customWidth="1"/>
    <col min="5637" max="5640" width="0" hidden="1" customWidth="1"/>
    <col min="5641" max="5641" width="13.7265625" customWidth="1"/>
    <col min="5642" max="5645" width="0" hidden="1" customWidth="1"/>
    <col min="5646" max="5646" width="14.453125" bestFit="1" customWidth="1"/>
    <col min="5647" max="5651" width="0" hidden="1" customWidth="1"/>
    <col min="5652" max="5652" width="14.453125" customWidth="1"/>
    <col min="5653" max="5656" width="0" hidden="1" customWidth="1"/>
    <col min="5657" max="5657" width="15.26953125" bestFit="1" customWidth="1"/>
    <col min="5658" max="5659" width="0" hidden="1" customWidth="1"/>
    <col min="5660" max="5660" width="14" customWidth="1"/>
    <col min="5661" max="5661" width="10.7265625" customWidth="1"/>
    <col min="5854" max="5855" width="2.7265625" customWidth="1"/>
    <col min="5856" max="5856" width="4.7265625" customWidth="1"/>
    <col min="5857" max="5857" width="38.453125" bestFit="1" customWidth="1"/>
    <col min="5858" max="5858" width="8.26953125" customWidth="1"/>
    <col min="5860" max="5860" width="8.54296875" customWidth="1"/>
    <col min="5861" max="5861" width="9" customWidth="1"/>
    <col min="5862" max="5864" width="0" hidden="1" customWidth="1"/>
    <col min="5865" max="5865" width="13.7265625" customWidth="1"/>
    <col min="5866" max="5869" width="0" hidden="1" customWidth="1"/>
    <col min="5870" max="5870" width="13.7265625" customWidth="1"/>
    <col min="5871" max="5875" width="0" hidden="1" customWidth="1"/>
    <col min="5876" max="5876" width="14.453125" bestFit="1" customWidth="1"/>
    <col min="5877" max="5880" width="0" hidden="1" customWidth="1"/>
    <col min="5881" max="5881" width="14.453125" customWidth="1"/>
    <col min="5882" max="5885" width="0" hidden="1" customWidth="1"/>
    <col min="5886" max="5886" width="14" customWidth="1"/>
    <col min="5887" max="5891" width="0" hidden="1" customWidth="1"/>
    <col min="5892" max="5892" width="14" customWidth="1"/>
    <col min="5893" max="5896" width="0" hidden="1" customWidth="1"/>
    <col min="5897" max="5897" width="13.7265625" customWidth="1"/>
    <col min="5898" max="5901" width="0" hidden="1" customWidth="1"/>
    <col min="5902" max="5902" width="14.453125" bestFit="1" customWidth="1"/>
    <col min="5903" max="5907" width="0" hidden="1" customWidth="1"/>
    <col min="5908" max="5908" width="14.453125" customWidth="1"/>
    <col min="5909" max="5912" width="0" hidden="1" customWidth="1"/>
    <col min="5913" max="5913" width="15.26953125" bestFit="1" customWidth="1"/>
    <col min="5914" max="5915" width="0" hidden="1" customWidth="1"/>
    <col min="5916" max="5916" width="14" customWidth="1"/>
    <col min="5917" max="5917" width="10.7265625" customWidth="1"/>
    <col min="6110" max="6111" width="2.7265625" customWidth="1"/>
    <col min="6112" max="6112" width="4.7265625" customWidth="1"/>
    <col min="6113" max="6113" width="38.453125" bestFit="1" customWidth="1"/>
    <col min="6114" max="6114" width="8.26953125" customWidth="1"/>
    <col min="6116" max="6116" width="8.54296875" customWidth="1"/>
    <col min="6117" max="6117" width="9" customWidth="1"/>
    <col min="6118" max="6120" width="0" hidden="1" customWidth="1"/>
    <col min="6121" max="6121" width="13.7265625" customWidth="1"/>
    <col min="6122" max="6125" width="0" hidden="1" customWidth="1"/>
    <col min="6126" max="6126" width="13.7265625" customWidth="1"/>
    <col min="6127" max="6131" width="0" hidden="1" customWidth="1"/>
    <col min="6132" max="6132" width="14.453125" bestFit="1" customWidth="1"/>
    <col min="6133" max="6136" width="0" hidden="1" customWidth="1"/>
    <col min="6137" max="6137" width="14.453125" customWidth="1"/>
    <col min="6138" max="6141" width="0" hidden="1" customWidth="1"/>
    <col min="6142" max="6142" width="14" customWidth="1"/>
    <col min="6143" max="6147" width="0" hidden="1" customWidth="1"/>
    <col min="6148" max="6148" width="14" customWidth="1"/>
    <col min="6149" max="6152" width="0" hidden="1" customWidth="1"/>
    <col min="6153" max="6153" width="13.7265625" customWidth="1"/>
    <col min="6154" max="6157" width="0" hidden="1" customWidth="1"/>
    <col min="6158" max="6158" width="14.453125" bestFit="1" customWidth="1"/>
    <col min="6159" max="6163" width="0" hidden="1" customWidth="1"/>
    <col min="6164" max="6164" width="14.453125" customWidth="1"/>
    <col min="6165" max="6168" width="0" hidden="1" customWidth="1"/>
    <col min="6169" max="6169" width="15.26953125" bestFit="1" customWidth="1"/>
    <col min="6170" max="6171" width="0" hidden="1" customWidth="1"/>
    <col min="6172" max="6172" width="14" customWidth="1"/>
    <col min="6173" max="6173" width="10.7265625" customWidth="1"/>
    <col min="6366" max="6367" width="2.7265625" customWidth="1"/>
    <col min="6368" max="6368" width="4.7265625" customWidth="1"/>
    <col min="6369" max="6369" width="38.453125" bestFit="1" customWidth="1"/>
    <col min="6370" max="6370" width="8.26953125" customWidth="1"/>
    <col min="6372" max="6372" width="8.54296875" customWidth="1"/>
    <col min="6373" max="6373" width="9" customWidth="1"/>
    <col min="6374" max="6376" width="0" hidden="1" customWidth="1"/>
    <col min="6377" max="6377" width="13.7265625" customWidth="1"/>
    <col min="6378" max="6381" width="0" hidden="1" customWidth="1"/>
    <col min="6382" max="6382" width="13.7265625" customWidth="1"/>
    <col min="6383" max="6387" width="0" hidden="1" customWidth="1"/>
    <col min="6388" max="6388" width="14.453125" bestFit="1" customWidth="1"/>
    <col min="6389" max="6392" width="0" hidden="1" customWidth="1"/>
    <col min="6393" max="6393" width="14.453125" customWidth="1"/>
    <col min="6394" max="6397" width="0" hidden="1" customWidth="1"/>
    <col min="6398" max="6398" width="14" customWidth="1"/>
    <col min="6399" max="6403" width="0" hidden="1" customWidth="1"/>
    <col min="6404" max="6404" width="14" customWidth="1"/>
    <col min="6405" max="6408" width="0" hidden="1" customWidth="1"/>
    <col min="6409" max="6409" width="13.7265625" customWidth="1"/>
    <col min="6410" max="6413" width="0" hidden="1" customWidth="1"/>
    <col min="6414" max="6414" width="14.453125" bestFit="1" customWidth="1"/>
    <col min="6415" max="6419" width="0" hidden="1" customWidth="1"/>
    <col min="6420" max="6420" width="14.453125" customWidth="1"/>
    <col min="6421" max="6424" width="0" hidden="1" customWidth="1"/>
    <col min="6425" max="6425" width="15.26953125" bestFit="1" customWidth="1"/>
    <col min="6426" max="6427" width="0" hidden="1" customWidth="1"/>
    <col min="6428" max="6428" width="14" customWidth="1"/>
    <col min="6429" max="6429" width="10.7265625" customWidth="1"/>
    <col min="6622" max="6623" width="2.7265625" customWidth="1"/>
    <col min="6624" max="6624" width="4.7265625" customWidth="1"/>
    <col min="6625" max="6625" width="38.453125" bestFit="1" customWidth="1"/>
    <col min="6626" max="6626" width="8.26953125" customWidth="1"/>
    <col min="6628" max="6628" width="8.54296875" customWidth="1"/>
    <col min="6629" max="6629" width="9" customWidth="1"/>
    <col min="6630" max="6632" width="0" hidden="1" customWidth="1"/>
    <col min="6633" max="6633" width="13.7265625" customWidth="1"/>
    <col min="6634" max="6637" width="0" hidden="1" customWidth="1"/>
    <col min="6638" max="6638" width="13.7265625" customWidth="1"/>
    <col min="6639" max="6643" width="0" hidden="1" customWidth="1"/>
    <col min="6644" max="6644" width="14.453125" bestFit="1" customWidth="1"/>
    <col min="6645" max="6648" width="0" hidden="1" customWidth="1"/>
    <col min="6649" max="6649" width="14.453125" customWidth="1"/>
    <col min="6650" max="6653" width="0" hidden="1" customWidth="1"/>
    <col min="6654" max="6654" width="14" customWidth="1"/>
    <col min="6655" max="6659" width="0" hidden="1" customWidth="1"/>
    <col min="6660" max="6660" width="14" customWidth="1"/>
    <col min="6661" max="6664" width="0" hidden="1" customWidth="1"/>
    <col min="6665" max="6665" width="13.7265625" customWidth="1"/>
    <col min="6666" max="6669" width="0" hidden="1" customWidth="1"/>
    <col min="6670" max="6670" width="14.453125" bestFit="1" customWidth="1"/>
    <col min="6671" max="6675" width="0" hidden="1" customWidth="1"/>
    <col min="6676" max="6676" width="14.453125" customWidth="1"/>
    <col min="6677" max="6680" width="0" hidden="1" customWidth="1"/>
    <col min="6681" max="6681" width="15.26953125" bestFit="1" customWidth="1"/>
    <col min="6682" max="6683" width="0" hidden="1" customWidth="1"/>
    <col min="6684" max="6684" width="14" customWidth="1"/>
    <col min="6685" max="6685" width="10.7265625" customWidth="1"/>
    <col min="6878" max="6879" width="2.7265625" customWidth="1"/>
    <col min="6880" max="6880" width="4.7265625" customWidth="1"/>
    <col min="6881" max="6881" width="38.453125" bestFit="1" customWidth="1"/>
    <col min="6882" max="6882" width="8.26953125" customWidth="1"/>
    <col min="6884" max="6884" width="8.54296875" customWidth="1"/>
    <col min="6885" max="6885" width="9" customWidth="1"/>
    <col min="6886" max="6888" width="0" hidden="1" customWidth="1"/>
    <col min="6889" max="6889" width="13.7265625" customWidth="1"/>
    <col min="6890" max="6893" width="0" hidden="1" customWidth="1"/>
    <col min="6894" max="6894" width="13.7265625" customWidth="1"/>
    <col min="6895" max="6899" width="0" hidden="1" customWidth="1"/>
    <col min="6900" max="6900" width="14.453125" bestFit="1" customWidth="1"/>
    <col min="6901" max="6904" width="0" hidden="1" customWidth="1"/>
    <col min="6905" max="6905" width="14.453125" customWidth="1"/>
    <col min="6906" max="6909" width="0" hidden="1" customWidth="1"/>
    <col min="6910" max="6910" width="14" customWidth="1"/>
    <col min="6911" max="6915" width="0" hidden="1" customWidth="1"/>
    <col min="6916" max="6916" width="14" customWidth="1"/>
    <col min="6917" max="6920" width="0" hidden="1" customWidth="1"/>
    <col min="6921" max="6921" width="13.7265625" customWidth="1"/>
    <col min="6922" max="6925" width="0" hidden="1" customWidth="1"/>
    <col min="6926" max="6926" width="14.453125" bestFit="1" customWidth="1"/>
    <col min="6927" max="6931" width="0" hidden="1" customWidth="1"/>
    <col min="6932" max="6932" width="14.453125" customWidth="1"/>
    <col min="6933" max="6936" width="0" hidden="1" customWidth="1"/>
    <col min="6937" max="6937" width="15.26953125" bestFit="1" customWidth="1"/>
    <col min="6938" max="6939" width="0" hidden="1" customWidth="1"/>
    <col min="6940" max="6940" width="14" customWidth="1"/>
    <col min="6941" max="6941" width="10.7265625" customWidth="1"/>
    <col min="7134" max="7135" width="2.7265625" customWidth="1"/>
    <col min="7136" max="7136" width="4.7265625" customWidth="1"/>
    <col min="7137" max="7137" width="38.453125" bestFit="1" customWidth="1"/>
    <col min="7138" max="7138" width="8.26953125" customWidth="1"/>
    <col min="7140" max="7140" width="8.54296875" customWidth="1"/>
    <col min="7141" max="7141" width="9" customWidth="1"/>
    <col min="7142" max="7144" width="0" hidden="1" customWidth="1"/>
    <col min="7145" max="7145" width="13.7265625" customWidth="1"/>
    <col min="7146" max="7149" width="0" hidden="1" customWidth="1"/>
    <col min="7150" max="7150" width="13.7265625" customWidth="1"/>
    <col min="7151" max="7155" width="0" hidden="1" customWidth="1"/>
    <col min="7156" max="7156" width="14.453125" bestFit="1" customWidth="1"/>
    <col min="7157" max="7160" width="0" hidden="1" customWidth="1"/>
    <col min="7161" max="7161" width="14.453125" customWidth="1"/>
    <col min="7162" max="7165" width="0" hidden="1" customWidth="1"/>
    <col min="7166" max="7166" width="14" customWidth="1"/>
    <col min="7167" max="7171" width="0" hidden="1" customWidth="1"/>
    <col min="7172" max="7172" width="14" customWidth="1"/>
    <col min="7173" max="7176" width="0" hidden="1" customWidth="1"/>
    <col min="7177" max="7177" width="13.7265625" customWidth="1"/>
    <col min="7178" max="7181" width="0" hidden="1" customWidth="1"/>
    <col min="7182" max="7182" width="14.453125" bestFit="1" customWidth="1"/>
    <col min="7183" max="7187" width="0" hidden="1" customWidth="1"/>
    <col min="7188" max="7188" width="14.453125" customWidth="1"/>
    <col min="7189" max="7192" width="0" hidden="1" customWidth="1"/>
    <col min="7193" max="7193" width="15.26953125" bestFit="1" customWidth="1"/>
    <col min="7194" max="7195" width="0" hidden="1" customWidth="1"/>
    <col min="7196" max="7196" width="14" customWidth="1"/>
    <col min="7197" max="7197" width="10.7265625" customWidth="1"/>
    <col min="7390" max="7391" width="2.7265625" customWidth="1"/>
    <col min="7392" max="7392" width="4.7265625" customWidth="1"/>
    <col min="7393" max="7393" width="38.453125" bestFit="1" customWidth="1"/>
    <col min="7394" max="7394" width="8.26953125" customWidth="1"/>
    <col min="7396" max="7396" width="8.54296875" customWidth="1"/>
    <col min="7397" max="7397" width="9" customWidth="1"/>
    <col min="7398" max="7400" width="0" hidden="1" customWidth="1"/>
    <col min="7401" max="7401" width="13.7265625" customWidth="1"/>
    <col min="7402" max="7405" width="0" hidden="1" customWidth="1"/>
    <col min="7406" max="7406" width="13.7265625" customWidth="1"/>
    <col min="7407" max="7411" width="0" hidden="1" customWidth="1"/>
    <col min="7412" max="7412" width="14.453125" bestFit="1" customWidth="1"/>
    <col min="7413" max="7416" width="0" hidden="1" customWidth="1"/>
    <col min="7417" max="7417" width="14.453125" customWidth="1"/>
    <col min="7418" max="7421" width="0" hidden="1" customWidth="1"/>
    <col min="7422" max="7422" width="14" customWidth="1"/>
    <col min="7423" max="7427" width="0" hidden="1" customWidth="1"/>
    <col min="7428" max="7428" width="14" customWidth="1"/>
    <col min="7429" max="7432" width="0" hidden="1" customWidth="1"/>
    <col min="7433" max="7433" width="13.7265625" customWidth="1"/>
    <col min="7434" max="7437" width="0" hidden="1" customWidth="1"/>
    <col min="7438" max="7438" width="14.453125" bestFit="1" customWidth="1"/>
    <col min="7439" max="7443" width="0" hidden="1" customWidth="1"/>
    <col min="7444" max="7444" width="14.453125" customWidth="1"/>
    <col min="7445" max="7448" width="0" hidden="1" customWidth="1"/>
    <col min="7449" max="7449" width="15.26953125" bestFit="1" customWidth="1"/>
    <col min="7450" max="7451" width="0" hidden="1" customWidth="1"/>
    <col min="7452" max="7452" width="14" customWidth="1"/>
    <col min="7453" max="7453" width="10.7265625" customWidth="1"/>
    <col min="7646" max="7647" width="2.7265625" customWidth="1"/>
    <col min="7648" max="7648" width="4.7265625" customWidth="1"/>
    <col min="7649" max="7649" width="38.453125" bestFit="1" customWidth="1"/>
    <col min="7650" max="7650" width="8.26953125" customWidth="1"/>
    <col min="7652" max="7652" width="8.54296875" customWidth="1"/>
    <col min="7653" max="7653" width="9" customWidth="1"/>
    <col min="7654" max="7656" width="0" hidden="1" customWidth="1"/>
    <col min="7657" max="7657" width="13.7265625" customWidth="1"/>
    <col min="7658" max="7661" width="0" hidden="1" customWidth="1"/>
    <col min="7662" max="7662" width="13.7265625" customWidth="1"/>
    <col min="7663" max="7667" width="0" hidden="1" customWidth="1"/>
    <col min="7668" max="7668" width="14.453125" bestFit="1" customWidth="1"/>
    <col min="7669" max="7672" width="0" hidden="1" customWidth="1"/>
    <col min="7673" max="7673" width="14.453125" customWidth="1"/>
    <col min="7674" max="7677" width="0" hidden="1" customWidth="1"/>
    <col min="7678" max="7678" width="14" customWidth="1"/>
    <col min="7679" max="7683" width="0" hidden="1" customWidth="1"/>
    <col min="7684" max="7684" width="14" customWidth="1"/>
    <col min="7685" max="7688" width="0" hidden="1" customWidth="1"/>
    <col min="7689" max="7689" width="13.7265625" customWidth="1"/>
    <col min="7690" max="7693" width="0" hidden="1" customWidth="1"/>
    <col min="7694" max="7694" width="14.453125" bestFit="1" customWidth="1"/>
    <col min="7695" max="7699" width="0" hidden="1" customWidth="1"/>
    <col min="7700" max="7700" width="14.453125" customWidth="1"/>
    <col min="7701" max="7704" width="0" hidden="1" customWidth="1"/>
    <col min="7705" max="7705" width="15.26953125" bestFit="1" customWidth="1"/>
    <col min="7706" max="7707" width="0" hidden="1" customWidth="1"/>
    <col min="7708" max="7708" width="14" customWidth="1"/>
    <col min="7709" max="7709" width="10.7265625" customWidth="1"/>
    <col min="7902" max="7903" width="2.7265625" customWidth="1"/>
    <col min="7904" max="7904" width="4.7265625" customWidth="1"/>
    <col min="7905" max="7905" width="38.453125" bestFit="1" customWidth="1"/>
    <col min="7906" max="7906" width="8.26953125" customWidth="1"/>
    <col min="7908" max="7908" width="8.54296875" customWidth="1"/>
    <col min="7909" max="7909" width="9" customWidth="1"/>
    <col min="7910" max="7912" width="0" hidden="1" customWidth="1"/>
    <col min="7913" max="7913" width="13.7265625" customWidth="1"/>
    <col min="7914" max="7917" width="0" hidden="1" customWidth="1"/>
    <col min="7918" max="7918" width="13.7265625" customWidth="1"/>
    <col min="7919" max="7923" width="0" hidden="1" customWidth="1"/>
    <col min="7924" max="7924" width="14.453125" bestFit="1" customWidth="1"/>
    <col min="7925" max="7928" width="0" hidden="1" customWidth="1"/>
    <col min="7929" max="7929" width="14.453125" customWidth="1"/>
    <col min="7930" max="7933" width="0" hidden="1" customWidth="1"/>
    <col min="7934" max="7934" width="14" customWidth="1"/>
    <col min="7935" max="7939" width="0" hidden="1" customWidth="1"/>
    <col min="7940" max="7940" width="14" customWidth="1"/>
    <col min="7941" max="7944" width="0" hidden="1" customWidth="1"/>
    <col min="7945" max="7945" width="13.7265625" customWidth="1"/>
    <col min="7946" max="7949" width="0" hidden="1" customWidth="1"/>
    <col min="7950" max="7950" width="14.453125" bestFit="1" customWidth="1"/>
    <col min="7951" max="7955" width="0" hidden="1" customWidth="1"/>
    <col min="7956" max="7956" width="14.453125" customWidth="1"/>
    <col min="7957" max="7960" width="0" hidden="1" customWidth="1"/>
    <col min="7961" max="7961" width="15.26953125" bestFit="1" customWidth="1"/>
    <col min="7962" max="7963" width="0" hidden="1" customWidth="1"/>
    <col min="7964" max="7964" width="14" customWidth="1"/>
    <col min="7965" max="7965" width="10.7265625" customWidth="1"/>
    <col min="8158" max="8159" width="2.7265625" customWidth="1"/>
    <col min="8160" max="8160" width="4.7265625" customWidth="1"/>
    <col min="8161" max="8161" width="38.453125" bestFit="1" customWidth="1"/>
    <col min="8162" max="8162" width="8.26953125" customWidth="1"/>
    <col min="8164" max="8164" width="8.54296875" customWidth="1"/>
    <col min="8165" max="8165" width="9" customWidth="1"/>
    <col min="8166" max="8168" width="0" hidden="1" customWidth="1"/>
    <col min="8169" max="8169" width="13.7265625" customWidth="1"/>
    <col min="8170" max="8173" width="0" hidden="1" customWidth="1"/>
    <col min="8174" max="8174" width="13.7265625" customWidth="1"/>
    <col min="8175" max="8179" width="0" hidden="1" customWidth="1"/>
    <col min="8180" max="8180" width="14.453125" bestFit="1" customWidth="1"/>
    <col min="8181" max="8184" width="0" hidden="1" customWidth="1"/>
    <col min="8185" max="8185" width="14.453125" customWidth="1"/>
    <col min="8186" max="8189" width="0" hidden="1" customWidth="1"/>
    <col min="8190" max="8190" width="14" customWidth="1"/>
    <col min="8191" max="8195" width="0" hidden="1" customWidth="1"/>
    <col min="8196" max="8196" width="14" customWidth="1"/>
    <col min="8197" max="8200" width="0" hidden="1" customWidth="1"/>
    <col min="8201" max="8201" width="13.7265625" customWidth="1"/>
    <col min="8202" max="8205" width="0" hidden="1" customWidth="1"/>
    <col min="8206" max="8206" width="14.453125" bestFit="1" customWidth="1"/>
    <col min="8207" max="8211" width="0" hidden="1" customWidth="1"/>
    <col min="8212" max="8212" width="14.453125" customWidth="1"/>
    <col min="8213" max="8216" width="0" hidden="1" customWidth="1"/>
    <col min="8217" max="8217" width="15.26953125" bestFit="1" customWidth="1"/>
    <col min="8218" max="8219" width="0" hidden="1" customWidth="1"/>
    <col min="8220" max="8220" width="14" customWidth="1"/>
    <col min="8221" max="8221" width="10.7265625" customWidth="1"/>
    <col min="8414" max="8415" width="2.7265625" customWidth="1"/>
    <col min="8416" max="8416" width="4.7265625" customWidth="1"/>
    <col min="8417" max="8417" width="38.453125" bestFit="1" customWidth="1"/>
    <col min="8418" max="8418" width="8.26953125" customWidth="1"/>
    <col min="8420" max="8420" width="8.54296875" customWidth="1"/>
    <col min="8421" max="8421" width="9" customWidth="1"/>
    <col min="8422" max="8424" width="0" hidden="1" customWidth="1"/>
    <col min="8425" max="8425" width="13.7265625" customWidth="1"/>
    <col min="8426" max="8429" width="0" hidden="1" customWidth="1"/>
    <col min="8430" max="8430" width="13.7265625" customWidth="1"/>
    <col min="8431" max="8435" width="0" hidden="1" customWidth="1"/>
    <col min="8436" max="8436" width="14.453125" bestFit="1" customWidth="1"/>
    <col min="8437" max="8440" width="0" hidden="1" customWidth="1"/>
    <col min="8441" max="8441" width="14.453125" customWidth="1"/>
    <col min="8442" max="8445" width="0" hidden="1" customWidth="1"/>
    <col min="8446" max="8446" width="14" customWidth="1"/>
    <col min="8447" max="8451" width="0" hidden="1" customWidth="1"/>
    <col min="8452" max="8452" width="14" customWidth="1"/>
    <col min="8453" max="8456" width="0" hidden="1" customWidth="1"/>
    <col min="8457" max="8457" width="13.7265625" customWidth="1"/>
    <col min="8458" max="8461" width="0" hidden="1" customWidth="1"/>
    <col min="8462" max="8462" width="14.453125" bestFit="1" customWidth="1"/>
    <col min="8463" max="8467" width="0" hidden="1" customWidth="1"/>
    <col min="8468" max="8468" width="14.453125" customWidth="1"/>
    <col min="8469" max="8472" width="0" hidden="1" customWidth="1"/>
    <col min="8473" max="8473" width="15.26953125" bestFit="1" customWidth="1"/>
    <col min="8474" max="8475" width="0" hidden="1" customWidth="1"/>
    <col min="8476" max="8476" width="14" customWidth="1"/>
    <col min="8477" max="8477" width="10.7265625" customWidth="1"/>
    <col min="8670" max="8671" width="2.7265625" customWidth="1"/>
    <col min="8672" max="8672" width="4.7265625" customWidth="1"/>
    <col min="8673" max="8673" width="38.453125" bestFit="1" customWidth="1"/>
    <col min="8674" max="8674" width="8.26953125" customWidth="1"/>
    <col min="8676" max="8676" width="8.54296875" customWidth="1"/>
    <col min="8677" max="8677" width="9" customWidth="1"/>
    <col min="8678" max="8680" width="0" hidden="1" customWidth="1"/>
    <col min="8681" max="8681" width="13.7265625" customWidth="1"/>
    <col min="8682" max="8685" width="0" hidden="1" customWidth="1"/>
    <col min="8686" max="8686" width="13.7265625" customWidth="1"/>
    <col min="8687" max="8691" width="0" hidden="1" customWidth="1"/>
    <col min="8692" max="8692" width="14.453125" bestFit="1" customWidth="1"/>
    <col min="8693" max="8696" width="0" hidden="1" customWidth="1"/>
    <col min="8697" max="8697" width="14.453125" customWidth="1"/>
    <col min="8698" max="8701" width="0" hidden="1" customWidth="1"/>
    <col min="8702" max="8702" width="14" customWidth="1"/>
    <col min="8703" max="8707" width="0" hidden="1" customWidth="1"/>
    <col min="8708" max="8708" width="14" customWidth="1"/>
    <col min="8709" max="8712" width="0" hidden="1" customWidth="1"/>
    <col min="8713" max="8713" width="13.7265625" customWidth="1"/>
    <col min="8714" max="8717" width="0" hidden="1" customWidth="1"/>
    <col min="8718" max="8718" width="14.453125" bestFit="1" customWidth="1"/>
    <col min="8719" max="8723" width="0" hidden="1" customWidth="1"/>
    <col min="8724" max="8724" width="14.453125" customWidth="1"/>
    <col min="8725" max="8728" width="0" hidden="1" customWidth="1"/>
    <col min="8729" max="8729" width="15.26953125" bestFit="1" customWidth="1"/>
    <col min="8730" max="8731" width="0" hidden="1" customWidth="1"/>
    <col min="8732" max="8732" width="14" customWidth="1"/>
    <col min="8733" max="8733" width="10.7265625" customWidth="1"/>
    <col min="8926" max="8927" width="2.7265625" customWidth="1"/>
    <col min="8928" max="8928" width="4.7265625" customWidth="1"/>
    <col min="8929" max="8929" width="38.453125" bestFit="1" customWidth="1"/>
    <col min="8930" max="8930" width="8.26953125" customWidth="1"/>
    <col min="8932" max="8932" width="8.54296875" customWidth="1"/>
    <col min="8933" max="8933" width="9" customWidth="1"/>
    <col min="8934" max="8936" width="0" hidden="1" customWidth="1"/>
    <col min="8937" max="8937" width="13.7265625" customWidth="1"/>
    <col min="8938" max="8941" width="0" hidden="1" customWidth="1"/>
    <col min="8942" max="8942" width="13.7265625" customWidth="1"/>
    <col min="8943" max="8947" width="0" hidden="1" customWidth="1"/>
    <col min="8948" max="8948" width="14.453125" bestFit="1" customWidth="1"/>
    <col min="8949" max="8952" width="0" hidden="1" customWidth="1"/>
    <col min="8953" max="8953" width="14.453125" customWidth="1"/>
    <col min="8954" max="8957" width="0" hidden="1" customWidth="1"/>
    <col min="8958" max="8958" width="14" customWidth="1"/>
    <col min="8959" max="8963" width="0" hidden="1" customWidth="1"/>
    <col min="8964" max="8964" width="14" customWidth="1"/>
    <col min="8965" max="8968" width="0" hidden="1" customWidth="1"/>
    <col min="8969" max="8969" width="13.7265625" customWidth="1"/>
    <col min="8970" max="8973" width="0" hidden="1" customWidth="1"/>
    <col min="8974" max="8974" width="14.453125" bestFit="1" customWidth="1"/>
    <col min="8975" max="8979" width="0" hidden="1" customWidth="1"/>
    <col min="8980" max="8980" width="14.453125" customWidth="1"/>
    <col min="8981" max="8984" width="0" hidden="1" customWidth="1"/>
    <col min="8985" max="8985" width="15.26953125" bestFit="1" customWidth="1"/>
    <col min="8986" max="8987" width="0" hidden="1" customWidth="1"/>
    <col min="8988" max="8988" width="14" customWidth="1"/>
    <col min="8989" max="8989" width="10.7265625" customWidth="1"/>
    <col min="9182" max="9183" width="2.7265625" customWidth="1"/>
    <col min="9184" max="9184" width="4.7265625" customWidth="1"/>
    <col min="9185" max="9185" width="38.453125" bestFit="1" customWidth="1"/>
    <col min="9186" max="9186" width="8.26953125" customWidth="1"/>
    <col min="9188" max="9188" width="8.54296875" customWidth="1"/>
    <col min="9189" max="9189" width="9" customWidth="1"/>
    <col min="9190" max="9192" width="0" hidden="1" customWidth="1"/>
    <col min="9193" max="9193" width="13.7265625" customWidth="1"/>
    <col min="9194" max="9197" width="0" hidden="1" customWidth="1"/>
    <col min="9198" max="9198" width="13.7265625" customWidth="1"/>
    <col min="9199" max="9203" width="0" hidden="1" customWidth="1"/>
    <col min="9204" max="9204" width="14.453125" bestFit="1" customWidth="1"/>
    <col min="9205" max="9208" width="0" hidden="1" customWidth="1"/>
    <col min="9209" max="9209" width="14.453125" customWidth="1"/>
    <col min="9210" max="9213" width="0" hidden="1" customWidth="1"/>
    <col min="9214" max="9214" width="14" customWidth="1"/>
    <col min="9215" max="9219" width="0" hidden="1" customWidth="1"/>
    <col min="9220" max="9220" width="14" customWidth="1"/>
    <col min="9221" max="9224" width="0" hidden="1" customWidth="1"/>
    <col min="9225" max="9225" width="13.7265625" customWidth="1"/>
    <col min="9226" max="9229" width="0" hidden="1" customWidth="1"/>
    <col min="9230" max="9230" width="14.453125" bestFit="1" customWidth="1"/>
    <col min="9231" max="9235" width="0" hidden="1" customWidth="1"/>
    <col min="9236" max="9236" width="14.453125" customWidth="1"/>
    <col min="9237" max="9240" width="0" hidden="1" customWidth="1"/>
    <col min="9241" max="9241" width="15.26953125" bestFit="1" customWidth="1"/>
    <col min="9242" max="9243" width="0" hidden="1" customWidth="1"/>
    <col min="9244" max="9244" width="14" customWidth="1"/>
    <col min="9245" max="9245" width="10.7265625" customWidth="1"/>
    <col min="9438" max="9439" width="2.7265625" customWidth="1"/>
    <col min="9440" max="9440" width="4.7265625" customWidth="1"/>
    <col min="9441" max="9441" width="38.453125" bestFit="1" customWidth="1"/>
    <col min="9442" max="9442" width="8.26953125" customWidth="1"/>
    <col min="9444" max="9444" width="8.54296875" customWidth="1"/>
    <col min="9445" max="9445" width="9" customWidth="1"/>
    <col min="9446" max="9448" width="0" hidden="1" customWidth="1"/>
    <col min="9449" max="9449" width="13.7265625" customWidth="1"/>
    <col min="9450" max="9453" width="0" hidden="1" customWidth="1"/>
    <col min="9454" max="9454" width="13.7265625" customWidth="1"/>
    <col min="9455" max="9459" width="0" hidden="1" customWidth="1"/>
    <col min="9460" max="9460" width="14.453125" bestFit="1" customWidth="1"/>
    <col min="9461" max="9464" width="0" hidden="1" customWidth="1"/>
    <col min="9465" max="9465" width="14.453125" customWidth="1"/>
    <col min="9466" max="9469" width="0" hidden="1" customWidth="1"/>
    <col min="9470" max="9470" width="14" customWidth="1"/>
    <col min="9471" max="9475" width="0" hidden="1" customWidth="1"/>
    <col min="9476" max="9476" width="14" customWidth="1"/>
    <col min="9477" max="9480" width="0" hidden="1" customWidth="1"/>
    <col min="9481" max="9481" width="13.7265625" customWidth="1"/>
    <col min="9482" max="9485" width="0" hidden="1" customWidth="1"/>
    <col min="9486" max="9486" width="14.453125" bestFit="1" customWidth="1"/>
    <col min="9487" max="9491" width="0" hidden="1" customWidth="1"/>
    <col min="9492" max="9492" width="14.453125" customWidth="1"/>
    <col min="9493" max="9496" width="0" hidden="1" customWidth="1"/>
    <col min="9497" max="9497" width="15.26953125" bestFit="1" customWidth="1"/>
    <col min="9498" max="9499" width="0" hidden="1" customWidth="1"/>
    <col min="9500" max="9500" width="14" customWidth="1"/>
    <col min="9501" max="9501" width="10.7265625" customWidth="1"/>
    <col min="9694" max="9695" width="2.7265625" customWidth="1"/>
    <col min="9696" max="9696" width="4.7265625" customWidth="1"/>
    <col min="9697" max="9697" width="38.453125" bestFit="1" customWidth="1"/>
    <col min="9698" max="9698" width="8.26953125" customWidth="1"/>
    <col min="9700" max="9700" width="8.54296875" customWidth="1"/>
    <col min="9701" max="9701" width="9" customWidth="1"/>
    <col min="9702" max="9704" width="0" hidden="1" customWidth="1"/>
    <col min="9705" max="9705" width="13.7265625" customWidth="1"/>
    <col min="9706" max="9709" width="0" hidden="1" customWidth="1"/>
    <col min="9710" max="9710" width="13.7265625" customWidth="1"/>
    <col min="9711" max="9715" width="0" hidden="1" customWidth="1"/>
    <col min="9716" max="9716" width="14.453125" bestFit="1" customWidth="1"/>
    <col min="9717" max="9720" width="0" hidden="1" customWidth="1"/>
    <col min="9721" max="9721" width="14.453125" customWidth="1"/>
    <col min="9722" max="9725" width="0" hidden="1" customWidth="1"/>
    <col min="9726" max="9726" width="14" customWidth="1"/>
    <col min="9727" max="9731" width="0" hidden="1" customWidth="1"/>
    <col min="9732" max="9732" width="14" customWidth="1"/>
    <col min="9733" max="9736" width="0" hidden="1" customWidth="1"/>
    <col min="9737" max="9737" width="13.7265625" customWidth="1"/>
    <col min="9738" max="9741" width="0" hidden="1" customWidth="1"/>
    <col min="9742" max="9742" width="14.453125" bestFit="1" customWidth="1"/>
    <col min="9743" max="9747" width="0" hidden="1" customWidth="1"/>
    <col min="9748" max="9748" width="14.453125" customWidth="1"/>
    <col min="9749" max="9752" width="0" hidden="1" customWidth="1"/>
    <col min="9753" max="9753" width="15.26953125" bestFit="1" customWidth="1"/>
    <col min="9754" max="9755" width="0" hidden="1" customWidth="1"/>
    <col min="9756" max="9756" width="14" customWidth="1"/>
    <col min="9757" max="9757" width="10.7265625" customWidth="1"/>
    <col min="9950" max="9951" width="2.7265625" customWidth="1"/>
    <col min="9952" max="9952" width="4.7265625" customWidth="1"/>
    <col min="9953" max="9953" width="38.453125" bestFit="1" customWidth="1"/>
    <col min="9954" max="9954" width="8.26953125" customWidth="1"/>
    <col min="9956" max="9956" width="8.54296875" customWidth="1"/>
    <col min="9957" max="9957" width="9" customWidth="1"/>
    <col min="9958" max="9960" width="0" hidden="1" customWidth="1"/>
    <col min="9961" max="9961" width="13.7265625" customWidth="1"/>
    <col min="9962" max="9965" width="0" hidden="1" customWidth="1"/>
    <col min="9966" max="9966" width="13.7265625" customWidth="1"/>
    <col min="9967" max="9971" width="0" hidden="1" customWidth="1"/>
    <col min="9972" max="9972" width="14.453125" bestFit="1" customWidth="1"/>
    <col min="9973" max="9976" width="0" hidden="1" customWidth="1"/>
    <col min="9977" max="9977" width="14.453125" customWidth="1"/>
    <col min="9978" max="9981" width="0" hidden="1" customWidth="1"/>
    <col min="9982" max="9982" width="14" customWidth="1"/>
    <col min="9983" max="9987" width="0" hidden="1" customWidth="1"/>
    <col min="9988" max="9988" width="14" customWidth="1"/>
    <col min="9989" max="9992" width="0" hidden="1" customWidth="1"/>
    <col min="9993" max="9993" width="13.7265625" customWidth="1"/>
    <col min="9994" max="9997" width="0" hidden="1" customWidth="1"/>
    <col min="9998" max="9998" width="14.453125" bestFit="1" customWidth="1"/>
    <col min="9999" max="10003" width="0" hidden="1" customWidth="1"/>
    <col min="10004" max="10004" width="14.453125" customWidth="1"/>
    <col min="10005" max="10008" width="0" hidden="1" customWidth="1"/>
    <col min="10009" max="10009" width="15.26953125" bestFit="1" customWidth="1"/>
    <col min="10010" max="10011" width="0" hidden="1" customWidth="1"/>
    <col min="10012" max="10012" width="14" customWidth="1"/>
    <col min="10013" max="10013" width="10.7265625" customWidth="1"/>
    <col min="10206" max="10207" width="2.7265625" customWidth="1"/>
    <col min="10208" max="10208" width="4.7265625" customWidth="1"/>
    <col min="10209" max="10209" width="38.453125" bestFit="1" customWidth="1"/>
    <col min="10210" max="10210" width="8.26953125" customWidth="1"/>
    <col min="10212" max="10212" width="8.54296875" customWidth="1"/>
    <col min="10213" max="10213" width="9" customWidth="1"/>
    <col min="10214" max="10216" width="0" hidden="1" customWidth="1"/>
    <col min="10217" max="10217" width="13.7265625" customWidth="1"/>
    <col min="10218" max="10221" width="0" hidden="1" customWidth="1"/>
    <col min="10222" max="10222" width="13.7265625" customWidth="1"/>
    <col min="10223" max="10227" width="0" hidden="1" customWidth="1"/>
    <col min="10228" max="10228" width="14.453125" bestFit="1" customWidth="1"/>
    <col min="10229" max="10232" width="0" hidden="1" customWidth="1"/>
    <col min="10233" max="10233" width="14.453125" customWidth="1"/>
    <col min="10234" max="10237" width="0" hidden="1" customWidth="1"/>
    <col min="10238" max="10238" width="14" customWidth="1"/>
    <col min="10239" max="10243" width="0" hidden="1" customWidth="1"/>
    <col min="10244" max="10244" width="14" customWidth="1"/>
    <col min="10245" max="10248" width="0" hidden="1" customWidth="1"/>
    <col min="10249" max="10249" width="13.7265625" customWidth="1"/>
    <col min="10250" max="10253" width="0" hidden="1" customWidth="1"/>
    <col min="10254" max="10254" width="14.453125" bestFit="1" customWidth="1"/>
    <col min="10255" max="10259" width="0" hidden="1" customWidth="1"/>
    <col min="10260" max="10260" width="14.453125" customWidth="1"/>
    <col min="10261" max="10264" width="0" hidden="1" customWidth="1"/>
    <col min="10265" max="10265" width="15.26953125" bestFit="1" customWidth="1"/>
    <col min="10266" max="10267" width="0" hidden="1" customWidth="1"/>
    <col min="10268" max="10268" width="14" customWidth="1"/>
    <col min="10269" max="10269" width="10.7265625" customWidth="1"/>
    <col min="10462" max="10463" width="2.7265625" customWidth="1"/>
    <col min="10464" max="10464" width="4.7265625" customWidth="1"/>
    <col min="10465" max="10465" width="38.453125" bestFit="1" customWidth="1"/>
    <col min="10466" max="10466" width="8.26953125" customWidth="1"/>
    <col min="10468" max="10468" width="8.54296875" customWidth="1"/>
    <col min="10469" max="10469" width="9" customWidth="1"/>
    <col min="10470" max="10472" width="0" hidden="1" customWidth="1"/>
    <col min="10473" max="10473" width="13.7265625" customWidth="1"/>
    <col min="10474" max="10477" width="0" hidden="1" customWidth="1"/>
    <col min="10478" max="10478" width="13.7265625" customWidth="1"/>
    <col min="10479" max="10483" width="0" hidden="1" customWidth="1"/>
    <col min="10484" max="10484" width="14.453125" bestFit="1" customWidth="1"/>
    <col min="10485" max="10488" width="0" hidden="1" customWidth="1"/>
    <col min="10489" max="10489" width="14.453125" customWidth="1"/>
    <col min="10490" max="10493" width="0" hidden="1" customWidth="1"/>
    <col min="10494" max="10494" width="14" customWidth="1"/>
    <col min="10495" max="10499" width="0" hidden="1" customWidth="1"/>
    <col min="10500" max="10500" width="14" customWidth="1"/>
    <col min="10501" max="10504" width="0" hidden="1" customWidth="1"/>
    <col min="10505" max="10505" width="13.7265625" customWidth="1"/>
    <col min="10506" max="10509" width="0" hidden="1" customWidth="1"/>
    <col min="10510" max="10510" width="14.453125" bestFit="1" customWidth="1"/>
    <col min="10511" max="10515" width="0" hidden="1" customWidth="1"/>
    <col min="10516" max="10516" width="14.453125" customWidth="1"/>
    <col min="10517" max="10520" width="0" hidden="1" customWidth="1"/>
    <col min="10521" max="10521" width="15.26953125" bestFit="1" customWidth="1"/>
    <col min="10522" max="10523" width="0" hidden="1" customWidth="1"/>
    <col min="10524" max="10524" width="14" customWidth="1"/>
    <col min="10525" max="10525" width="10.7265625" customWidth="1"/>
    <col min="10718" max="10719" width="2.7265625" customWidth="1"/>
    <col min="10720" max="10720" width="4.7265625" customWidth="1"/>
    <col min="10721" max="10721" width="38.453125" bestFit="1" customWidth="1"/>
    <col min="10722" max="10722" width="8.26953125" customWidth="1"/>
    <col min="10724" max="10724" width="8.54296875" customWidth="1"/>
    <col min="10725" max="10725" width="9" customWidth="1"/>
    <col min="10726" max="10728" width="0" hidden="1" customWidth="1"/>
    <col min="10729" max="10729" width="13.7265625" customWidth="1"/>
    <col min="10730" max="10733" width="0" hidden="1" customWidth="1"/>
    <col min="10734" max="10734" width="13.7265625" customWidth="1"/>
    <col min="10735" max="10739" width="0" hidden="1" customWidth="1"/>
    <col min="10740" max="10740" width="14.453125" bestFit="1" customWidth="1"/>
    <col min="10741" max="10744" width="0" hidden="1" customWidth="1"/>
    <col min="10745" max="10745" width="14.453125" customWidth="1"/>
    <col min="10746" max="10749" width="0" hidden="1" customWidth="1"/>
    <col min="10750" max="10750" width="14" customWidth="1"/>
    <col min="10751" max="10755" width="0" hidden="1" customWidth="1"/>
    <col min="10756" max="10756" width="14" customWidth="1"/>
    <col min="10757" max="10760" width="0" hidden="1" customWidth="1"/>
    <col min="10761" max="10761" width="13.7265625" customWidth="1"/>
    <col min="10762" max="10765" width="0" hidden="1" customWidth="1"/>
    <col min="10766" max="10766" width="14.453125" bestFit="1" customWidth="1"/>
    <col min="10767" max="10771" width="0" hidden="1" customWidth="1"/>
    <col min="10772" max="10772" width="14.453125" customWidth="1"/>
    <col min="10773" max="10776" width="0" hidden="1" customWidth="1"/>
    <col min="10777" max="10777" width="15.26953125" bestFit="1" customWidth="1"/>
    <col min="10778" max="10779" width="0" hidden="1" customWidth="1"/>
    <col min="10780" max="10780" width="14" customWidth="1"/>
    <col min="10781" max="10781" width="10.7265625" customWidth="1"/>
    <col min="10974" max="10975" width="2.7265625" customWidth="1"/>
    <col min="10976" max="10976" width="4.7265625" customWidth="1"/>
    <col min="10977" max="10977" width="38.453125" bestFit="1" customWidth="1"/>
    <col min="10978" max="10978" width="8.26953125" customWidth="1"/>
    <col min="10980" max="10980" width="8.54296875" customWidth="1"/>
    <col min="10981" max="10981" width="9" customWidth="1"/>
    <col min="10982" max="10984" width="0" hidden="1" customWidth="1"/>
    <col min="10985" max="10985" width="13.7265625" customWidth="1"/>
    <col min="10986" max="10989" width="0" hidden="1" customWidth="1"/>
    <col min="10990" max="10990" width="13.7265625" customWidth="1"/>
    <col min="10991" max="10995" width="0" hidden="1" customWidth="1"/>
    <col min="10996" max="10996" width="14.453125" bestFit="1" customWidth="1"/>
    <col min="10997" max="11000" width="0" hidden="1" customWidth="1"/>
    <col min="11001" max="11001" width="14.453125" customWidth="1"/>
    <col min="11002" max="11005" width="0" hidden="1" customWidth="1"/>
    <col min="11006" max="11006" width="14" customWidth="1"/>
    <col min="11007" max="11011" width="0" hidden="1" customWidth="1"/>
    <col min="11012" max="11012" width="14" customWidth="1"/>
    <col min="11013" max="11016" width="0" hidden="1" customWidth="1"/>
    <col min="11017" max="11017" width="13.7265625" customWidth="1"/>
    <col min="11018" max="11021" width="0" hidden="1" customWidth="1"/>
    <col min="11022" max="11022" width="14.453125" bestFit="1" customWidth="1"/>
    <col min="11023" max="11027" width="0" hidden="1" customWidth="1"/>
    <col min="11028" max="11028" width="14.453125" customWidth="1"/>
    <col min="11029" max="11032" width="0" hidden="1" customWidth="1"/>
    <col min="11033" max="11033" width="15.26953125" bestFit="1" customWidth="1"/>
    <col min="11034" max="11035" width="0" hidden="1" customWidth="1"/>
    <col min="11036" max="11036" width="14" customWidth="1"/>
    <col min="11037" max="11037" width="10.7265625" customWidth="1"/>
    <col min="11230" max="11231" width="2.7265625" customWidth="1"/>
    <col min="11232" max="11232" width="4.7265625" customWidth="1"/>
    <col min="11233" max="11233" width="38.453125" bestFit="1" customWidth="1"/>
    <col min="11234" max="11234" width="8.26953125" customWidth="1"/>
    <col min="11236" max="11236" width="8.54296875" customWidth="1"/>
    <col min="11237" max="11237" width="9" customWidth="1"/>
    <col min="11238" max="11240" width="0" hidden="1" customWidth="1"/>
    <col min="11241" max="11241" width="13.7265625" customWidth="1"/>
    <col min="11242" max="11245" width="0" hidden="1" customWidth="1"/>
    <col min="11246" max="11246" width="13.7265625" customWidth="1"/>
    <col min="11247" max="11251" width="0" hidden="1" customWidth="1"/>
    <col min="11252" max="11252" width="14.453125" bestFit="1" customWidth="1"/>
    <col min="11253" max="11256" width="0" hidden="1" customWidth="1"/>
    <col min="11257" max="11257" width="14.453125" customWidth="1"/>
    <col min="11258" max="11261" width="0" hidden="1" customWidth="1"/>
    <col min="11262" max="11262" width="14" customWidth="1"/>
    <col min="11263" max="11267" width="0" hidden="1" customWidth="1"/>
    <col min="11268" max="11268" width="14" customWidth="1"/>
    <col min="11269" max="11272" width="0" hidden="1" customWidth="1"/>
    <col min="11273" max="11273" width="13.7265625" customWidth="1"/>
    <col min="11274" max="11277" width="0" hidden="1" customWidth="1"/>
    <col min="11278" max="11278" width="14.453125" bestFit="1" customWidth="1"/>
    <col min="11279" max="11283" width="0" hidden="1" customWidth="1"/>
    <col min="11284" max="11284" width="14.453125" customWidth="1"/>
    <col min="11285" max="11288" width="0" hidden="1" customWidth="1"/>
    <col min="11289" max="11289" width="15.26953125" bestFit="1" customWidth="1"/>
    <col min="11290" max="11291" width="0" hidden="1" customWidth="1"/>
    <col min="11292" max="11292" width="14" customWidth="1"/>
    <col min="11293" max="11293" width="10.7265625" customWidth="1"/>
    <col min="11486" max="11487" width="2.7265625" customWidth="1"/>
    <col min="11488" max="11488" width="4.7265625" customWidth="1"/>
    <col min="11489" max="11489" width="38.453125" bestFit="1" customWidth="1"/>
    <col min="11490" max="11490" width="8.26953125" customWidth="1"/>
    <col min="11492" max="11492" width="8.54296875" customWidth="1"/>
    <col min="11493" max="11493" width="9" customWidth="1"/>
    <col min="11494" max="11496" width="0" hidden="1" customWidth="1"/>
    <col min="11497" max="11497" width="13.7265625" customWidth="1"/>
    <col min="11498" max="11501" width="0" hidden="1" customWidth="1"/>
    <col min="11502" max="11502" width="13.7265625" customWidth="1"/>
    <col min="11503" max="11507" width="0" hidden="1" customWidth="1"/>
    <col min="11508" max="11508" width="14.453125" bestFit="1" customWidth="1"/>
    <col min="11509" max="11512" width="0" hidden="1" customWidth="1"/>
    <col min="11513" max="11513" width="14.453125" customWidth="1"/>
    <col min="11514" max="11517" width="0" hidden="1" customWidth="1"/>
    <col min="11518" max="11518" width="14" customWidth="1"/>
    <col min="11519" max="11523" width="0" hidden="1" customWidth="1"/>
    <col min="11524" max="11524" width="14" customWidth="1"/>
    <col min="11525" max="11528" width="0" hidden="1" customWidth="1"/>
    <col min="11529" max="11529" width="13.7265625" customWidth="1"/>
    <col min="11530" max="11533" width="0" hidden="1" customWidth="1"/>
    <col min="11534" max="11534" width="14.453125" bestFit="1" customWidth="1"/>
    <col min="11535" max="11539" width="0" hidden="1" customWidth="1"/>
    <col min="11540" max="11540" width="14.453125" customWidth="1"/>
    <col min="11541" max="11544" width="0" hidden="1" customWidth="1"/>
    <col min="11545" max="11545" width="15.26953125" bestFit="1" customWidth="1"/>
    <col min="11546" max="11547" width="0" hidden="1" customWidth="1"/>
    <col min="11548" max="11548" width="14" customWidth="1"/>
    <col min="11549" max="11549" width="10.7265625" customWidth="1"/>
    <col min="11742" max="11743" width="2.7265625" customWidth="1"/>
    <col min="11744" max="11744" width="4.7265625" customWidth="1"/>
    <col min="11745" max="11745" width="38.453125" bestFit="1" customWidth="1"/>
    <col min="11746" max="11746" width="8.26953125" customWidth="1"/>
    <col min="11748" max="11748" width="8.54296875" customWidth="1"/>
    <col min="11749" max="11749" width="9" customWidth="1"/>
    <col min="11750" max="11752" width="0" hidden="1" customWidth="1"/>
    <col min="11753" max="11753" width="13.7265625" customWidth="1"/>
    <col min="11754" max="11757" width="0" hidden="1" customWidth="1"/>
    <col min="11758" max="11758" width="13.7265625" customWidth="1"/>
    <col min="11759" max="11763" width="0" hidden="1" customWidth="1"/>
    <col min="11764" max="11764" width="14.453125" bestFit="1" customWidth="1"/>
    <col min="11765" max="11768" width="0" hidden="1" customWidth="1"/>
    <col min="11769" max="11769" width="14.453125" customWidth="1"/>
    <col min="11770" max="11773" width="0" hidden="1" customWidth="1"/>
    <col min="11774" max="11774" width="14" customWidth="1"/>
    <col min="11775" max="11779" width="0" hidden="1" customWidth="1"/>
    <col min="11780" max="11780" width="14" customWidth="1"/>
    <col min="11781" max="11784" width="0" hidden="1" customWidth="1"/>
    <col min="11785" max="11785" width="13.7265625" customWidth="1"/>
    <col min="11786" max="11789" width="0" hidden="1" customWidth="1"/>
    <col min="11790" max="11790" width="14.453125" bestFit="1" customWidth="1"/>
    <col min="11791" max="11795" width="0" hidden="1" customWidth="1"/>
    <col min="11796" max="11796" width="14.453125" customWidth="1"/>
    <col min="11797" max="11800" width="0" hidden="1" customWidth="1"/>
    <col min="11801" max="11801" width="15.26953125" bestFit="1" customWidth="1"/>
    <col min="11802" max="11803" width="0" hidden="1" customWidth="1"/>
    <col min="11804" max="11804" width="14" customWidth="1"/>
    <col min="11805" max="11805" width="10.7265625" customWidth="1"/>
    <col min="11998" max="11999" width="2.7265625" customWidth="1"/>
    <col min="12000" max="12000" width="4.7265625" customWidth="1"/>
    <col min="12001" max="12001" width="38.453125" bestFit="1" customWidth="1"/>
    <col min="12002" max="12002" width="8.26953125" customWidth="1"/>
    <col min="12004" max="12004" width="8.54296875" customWidth="1"/>
    <col min="12005" max="12005" width="9" customWidth="1"/>
    <col min="12006" max="12008" width="0" hidden="1" customWidth="1"/>
    <col min="12009" max="12009" width="13.7265625" customWidth="1"/>
    <col min="12010" max="12013" width="0" hidden="1" customWidth="1"/>
    <col min="12014" max="12014" width="13.7265625" customWidth="1"/>
    <col min="12015" max="12019" width="0" hidden="1" customWidth="1"/>
    <col min="12020" max="12020" width="14.453125" bestFit="1" customWidth="1"/>
    <col min="12021" max="12024" width="0" hidden="1" customWidth="1"/>
    <col min="12025" max="12025" width="14.453125" customWidth="1"/>
    <col min="12026" max="12029" width="0" hidden="1" customWidth="1"/>
    <col min="12030" max="12030" width="14" customWidth="1"/>
    <col min="12031" max="12035" width="0" hidden="1" customWidth="1"/>
    <col min="12036" max="12036" width="14" customWidth="1"/>
    <col min="12037" max="12040" width="0" hidden="1" customWidth="1"/>
    <col min="12041" max="12041" width="13.7265625" customWidth="1"/>
    <col min="12042" max="12045" width="0" hidden="1" customWidth="1"/>
    <col min="12046" max="12046" width="14.453125" bestFit="1" customWidth="1"/>
    <col min="12047" max="12051" width="0" hidden="1" customWidth="1"/>
    <col min="12052" max="12052" width="14.453125" customWidth="1"/>
    <col min="12053" max="12056" width="0" hidden="1" customWidth="1"/>
    <col min="12057" max="12057" width="15.26953125" bestFit="1" customWidth="1"/>
    <col min="12058" max="12059" width="0" hidden="1" customWidth="1"/>
    <col min="12060" max="12060" width="14" customWidth="1"/>
    <col min="12061" max="12061" width="10.7265625" customWidth="1"/>
    <col min="12254" max="12255" width="2.7265625" customWidth="1"/>
    <col min="12256" max="12256" width="4.7265625" customWidth="1"/>
    <col min="12257" max="12257" width="38.453125" bestFit="1" customWidth="1"/>
    <col min="12258" max="12258" width="8.26953125" customWidth="1"/>
    <col min="12260" max="12260" width="8.54296875" customWidth="1"/>
    <col min="12261" max="12261" width="9" customWidth="1"/>
    <col min="12262" max="12264" width="0" hidden="1" customWidth="1"/>
    <col min="12265" max="12265" width="13.7265625" customWidth="1"/>
    <col min="12266" max="12269" width="0" hidden="1" customWidth="1"/>
    <col min="12270" max="12270" width="13.7265625" customWidth="1"/>
    <col min="12271" max="12275" width="0" hidden="1" customWidth="1"/>
    <col min="12276" max="12276" width="14.453125" bestFit="1" customWidth="1"/>
    <col min="12277" max="12280" width="0" hidden="1" customWidth="1"/>
    <col min="12281" max="12281" width="14.453125" customWidth="1"/>
    <col min="12282" max="12285" width="0" hidden="1" customWidth="1"/>
    <col min="12286" max="12286" width="14" customWidth="1"/>
    <col min="12287" max="12291" width="0" hidden="1" customWidth="1"/>
    <col min="12292" max="12292" width="14" customWidth="1"/>
    <col min="12293" max="12296" width="0" hidden="1" customWidth="1"/>
    <col min="12297" max="12297" width="13.7265625" customWidth="1"/>
    <col min="12298" max="12301" width="0" hidden="1" customWidth="1"/>
    <col min="12302" max="12302" width="14.453125" bestFit="1" customWidth="1"/>
    <col min="12303" max="12307" width="0" hidden="1" customWidth="1"/>
    <col min="12308" max="12308" width="14.453125" customWidth="1"/>
    <col min="12309" max="12312" width="0" hidden="1" customWidth="1"/>
    <col min="12313" max="12313" width="15.26953125" bestFit="1" customWidth="1"/>
    <col min="12314" max="12315" width="0" hidden="1" customWidth="1"/>
    <col min="12316" max="12316" width="14" customWidth="1"/>
    <col min="12317" max="12317" width="10.7265625" customWidth="1"/>
    <col min="12510" max="12511" width="2.7265625" customWidth="1"/>
    <col min="12512" max="12512" width="4.7265625" customWidth="1"/>
    <col min="12513" max="12513" width="38.453125" bestFit="1" customWidth="1"/>
    <col min="12514" max="12514" width="8.26953125" customWidth="1"/>
    <col min="12516" max="12516" width="8.54296875" customWidth="1"/>
    <col min="12517" max="12517" width="9" customWidth="1"/>
    <col min="12518" max="12520" width="0" hidden="1" customWidth="1"/>
    <col min="12521" max="12521" width="13.7265625" customWidth="1"/>
    <col min="12522" max="12525" width="0" hidden="1" customWidth="1"/>
    <col min="12526" max="12526" width="13.7265625" customWidth="1"/>
    <col min="12527" max="12531" width="0" hidden="1" customWidth="1"/>
    <col min="12532" max="12532" width="14.453125" bestFit="1" customWidth="1"/>
    <col min="12533" max="12536" width="0" hidden="1" customWidth="1"/>
    <col min="12537" max="12537" width="14.453125" customWidth="1"/>
    <col min="12538" max="12541" width="0" hidden="1" customWidth="1"/>
    <col min="12542" max="12542" width="14" customWidth="1"/>
    <col min="12543" max="12547" width="0" hidden="1" customWidth="1"/>
    <col min="12548" max="12548" width="14" customWidth="1"/>
    <col min="12549" max="12552" width="0" hidden="1" customWidth="1"/>
    <col min="12553" max="12553" width="13.7265625" customWidth="1"/>
    <col min="12554" max="12557" width="0" hidden="1" customWidth="1"/>
    <col min="12558" max="12558" width="14.453125" bestFit="1" customWidth="1"/>
    <col min="12559" max="12563" width="0" hidden="1" customWidth="1"/>
    <col min="12564" max="12564" width="14.453125" customWidth="1"/>
    <col min="12565" max="12568" width="0" hidden="1" customWidth="1"/>
    <col min="12569" max="12569" width="15.26953125" bestFit="1" customWidth="1"/>
    <col min="12570" max="12571" width="0" hidden="1" customWidth="1"/>
    <col min="12572" max="12572" width="14" customWidth="1"/>
    <col min="12573" max="12573" width="10.7265625" customWidth="1"/>
    <col min="12766" max="12767" width="2.7265625" customWidth="1"/>
    <col min="12768" max="12768" width="4.7265625" customWidth="1"/>
    <col min="12769" max="12769" width="38.453125" bestFit="1" customWidth="1"/>
    <col min="12770" max="12770" width="8.26953125" customWidth="1"/>
    <col min="12772" max="12772" width="8.54296875" customWidth="1"/>
    <col min="12773" max="12773" width="9" customWidth="1"/>
    <col min="12774" max="12776" width="0" hidden="1" customWidth="1"/>
    <col min="12777" max="12777" width="13.7265625" customWidth="1"/>
    <col min="12778" max="12781" width="0" hidden="1" customWidth="1"/>
    <col min="12782" max="12782" width="13.7265625" customWidth="1"/>
    <col min="12783" max="12787" width="0" hidden="1" customWidth="1"/>
    <col min="12788" max="12788" width="14.453125" bestFit="1" customWidth="1"/>
    <col min="12789" max="12792" width="0" hidden="1" customWidth="1"/>
    <col min="12793" max="12793" width="14.453125" customWidth="1"/>
    <col min="12794" max="12797" width="0" hidden="1" customWidth="1"/>
    <col min="12798" max="12798" width="14" customWidth="1"/>
    <col min="12799" max="12803" width="0" hidden="1" customWidth="1"/>
    <col min="12804" max="12804" width="14" customWidth="1"/>
    <col min="12805" max="12808" width="0" hidden="1" customWidth="1"/>
    <col min="12809" max="12809" width="13.7265625" customWidth="1"/>
    <col min="12810" max="12813" width="0" hidden="1" customWidth="1"/>
    <col min="12814" max="12814" width="14.453125" bestFit="1" customWidth="1"/>
    <col min="12815" max="12819" width="0" hidden="1" customWidth="1"/>
    <col min="12820" max="12820" width="14.453125" customWidth="1"/>
    <col min="12821" max="12824" width="0" hidden="1" customWidth="1"/>
    <col min="12825" max="12825" width="15.26953125" bestFit="1" customWidth="1"/>
    <col min="12826" max="12827" width="0" hidden="1" customWidth="1"/>
    <col min="12828" max="12828" width="14" customWidth="1"/>
    <col min="12829" max="12829" width="10.7265625" customWidth="1"/>
    <col min="13022" max="13023" width="2.7265625" customWidth="1"/>
    <col min="13024" max="13024" width="4.7265625" customWidth="1"/>
    <col min="13025" max="13025" width="38.453125" bestFit="1" customWidth="1"/>
    <col min="13026" max="13026" width="8.26953125" customWidth="1"/>
    <col min="13028" max="13028" width="8.54296875" customWidth="1"/>
    <col min="13029" max="13029" width="9" customWidth="1"/>
    <col min="13030" max="13032" width="0" hidden="1" customWidth="1"/>
    <col min="13033" max="13033" width="13.7265625" customWidth="1"/>
    <col min="13034" max="13037" width="0" hidden="1" customWidth="1"/>
    <col min="13038" max="13038" width="13.7265625" customWidth="1"/>
    <col min="13039" max="13043" width="0" hidden="1" customWidth="1"/>
    <col min="13044" max="13044" width="14.453125" bestFit="1" customWidth="1"/>
    <col min="13045" max="13048" width="0" hidden="1" customWidth="1"/>
    <col min="13049" max="13049" width="14.453125" customWidth="1"/>
    <col min="13050" max="13053" width="0" hidden="1" customWidth="1"/>
    <col min="13054" max="13054" width="14" customWidth="1"/>
    <col min="13055" max="13059" width="0" hidden="1" customWidth="1"/>
    <col min="13060" max="13060" width="14" customWidth="1"/>
    <col min="13061" max="13064" width="0" hidden="1" customWidth="1"/>
    <col min="13065" max="13065" width="13.7265625" customWidth="1"/>
    <col min="13066" max="13069" width="0" hidden="1" customWidth="1"/>
    <col min="13070" max="13070" width="14.453125" bestFit="1" customWidth="1"/>
    <col min="13071" max="13075" width="0" hidden="1" customWidth="1"/>
    <col min="13076" max="13076" width="14.453125" customWidth="1"/>
    <col min="13077" max="13080" width="0" hidden="1" customWidth="1"/>
    <col min="13081" max="13081" width="15.26953125" bestFit="1" customWidth="1"/>
    <col min="13082" max="13083" width="0" hidden="1" customWidth="1"/>
    <col min="13084" max="13084" width="14" customWidth="1"/>
    <col min="13085" max="13085" width="10.7265625" customWidth="1"/>
    <col min="13278" max="13279" width="2.7265625" customWidth="1"/>
    <col min="13280" max="13280" width="4.7265625" customWidth="1"/>
    <col min="13281" max="13281" width="38.453125" bestFit="1" customWidth="1"/>
    <col min="13282" max="13282" width="8.26953125" customWidth="1"/>
    <col min="13284" max="13284" width="8.54296875" customWidth="1"/>
    <col min="13285" max="13285" width="9" customWidth="1"/>
    <col min="13286" max="13288" width="0" hidden="1" customWidth="1"/>
    <col min="13289" max="13289" width="13.7265625" customWidth="1"/>
    <col min="13290" max="13293" width="0" hidden="1" customWidth="1"/>
    <col min="13294" max="13294" width="13.7265625" customWidth="1"/>
    <col min="13295" max="13299" width="0" hidden="1" customWidth="1"/>
    <col min="13300" max="13300" width="14.453125" bestFit="1" customWidth="1"/>
    <col min="13301" max="13304" width="0" hidden="1" customWidth="1"/>
    <col min="13305" max="13305" width="14.453125" customWidth="1"/>
    <col min="13306" max="13309" width="0" hidden="1" customWidth="1"/>
    <col min="13310" max="13310" width="14" customWidth="1"/>
    <col min="13311" max="13315" width="0" hidden="1" customWidth="1"/>
    <col min="13316" max="13316" width="14" customWidth="1"/>
    <col min="13317" max="13320" width="0" hidden="1" customWidth="1"/>
    <col min="13321" max="13321" width="13.7265625" customWidth="1"/>
    <col min="13322" max="13325" width="0" hidden="1" customWidth="1"/>
    <col min="13326" max="13326" width="14.453125" bestFit="1" customWidth="1"/>
    <col min="13327" max="13331" width="0" hidden="1" customWidth="1"/>
    <col min="13332" max="13332" width="14.453125" customWidth="1"/>
    <col min="13333" max="13336" width="0" hidden="1" customWidth="1"/>
    <col min="13337" max="13337" width="15.26953125" bestFit="1" customWidth="1"/>
    <col min="13338" max="13339" width="0" hidden="1" customWidth="1"/>
    <col min="13340" max="13340" width="14" customWidth="1"/>
    <col min="13341" max="13341" width="10.7265625" customWidth="1"/>
    <col min="13534" max="13535" width="2.7265625" customWidth="1"/>
    <col min="13536" max="13536" width="4.7265625" customWidth="1"/>
    <col min="13537" max="13537" width="38.453125" bestFit="1" customWidth="1"/>
    <col min="13538" max="13538" width="8.26953125" customWidth="1"/>
    <col min="13540" max="13540" width="8.54296875" customWidth="1"/>
    <col min="13541" max="13541" width="9" customWidth="1"/>
    <col min="13542" max="13544" width="0" hidden="1" customWidth="1"/>
    <col min="13545" max="13545" width="13.7265625" customWidth="1"/>
    <col min="13546" max="13549" width="0" hidden="1" customWidth="1"/>
    <col min="13550" max="13550" width="13.7265625" customWidth="1"/>
    <col min="13551" max="13555" width="0" hidden="1" customWidth="1"/>
    <col min="13556" max="13556" width="14.453125" bestFit="1" customWidth="1"/>
    <col min="13557" max="13560" width="0" hidden="1" customWidth="1"/>
    <col min="13561" max="13561" width="14.453125" customWidth="1"/>
    <col min="13562" max="13565" width="0" hidden="1" customWidth="1"/>
    <col min="13566" max="13566" width="14" customWidth="1"/>
    <col min="13567" max="13571" width="0" hidden="1" customWidth="1"/>
    <col min="13572" max="13572" width="14" customWidth="1"/>
    <col min="13573" max="13576" width="0" hidden="1" customWidth="1"/>
    <col min="13577" max="13577" width="13.7265625" customWidth="1"/>
    <col min="13578" max="13581" width="0" hidden="1" customWidth="1"/>
    <col min="13582" max="13582" width="14.453125" bestFit="1" customWidth="1"/>
    <col min="13583" max="13587" width="0" hidden="1" customWidth="1"/>
    <col min="13588" max="13588" width="14.453125" customWidth="1"/>
    <col min="13589" max="13592" width="0" hidden="1" customWidth="1"/>
    <col min="13593" max="13593" width="15.26953125" bestFit="1" customWidth="1"/>
    <col min="13594" max="13595" width="0" hidden="1" customWidth="1"/>
    <col min="13596" max="13596" width="14" customWidth="1"/>
    <col min="13597" max="13597" width="10.7265625" customWidth="1"/>
    <col min="13790" max="13791" width="2.7265625" customWidth="1"/>
    <col min="13792" max="13792" width="4.7265625" customWidth="1"/>
    <col min="13793" max="13793" width="38.453125" bestFit="1" customWidth="1"/>
    <col min="13794" max="13794" width="8.26953125" customWidth="1"/>
    <col min="13796" max="13796" width="8.54296875" customWidth="1"/>
    <col min="13797" max="13797" width="9" customWidth="1"/>
    <col min="13798" max="13800" width="0" hidden="1" customWidth="1"/>
    <col min="13801" max="13801" width="13.7265625" customWidth="1"/>
    <col min="13802" max="13805" width="0" hidden="1" customWidth="1"/>
    <col min="13806" max="13806" width="13.7265625" customWidth="1"/>
    <col min="13807" max="13811" width="0" hidden="1" customWidth="1"/>
    <col min="13812" max="13812" width="14.453125" bestFit="1" customWidth="1"/>
    <col min="13813" max="13816" width="0" hidden="1" customWidth="1"/>
    <col min="13817" max="13817" width="14.453125" customWidth="1"/>
    <col min="13818" max="13821" width="0" hidden="1" customWidth="1"/>
    <col min="13822" max="13822" width="14" customWidth="1"/>
    <col min="13823" max="13827" width="0" hidden="1" customWidth="1"/>
    <col min="13828" max="13828" width="14" customWidth="1"/>
    <col min="13829" max="13832" width="0" hidden="1" customWidth="1"/>
    <col min="13833" max="13833" width="13.7265625" customWidth="1"/>
    <col min="13834" max="13837" width="0" hidden="1" customWidth="1"/>
    <col min="13838" max="13838" width="14.453125" bestFit="1" customWidth="1"/>
    <col min="13839" max="13843" width="0" hidden="1" customWidth="1"/>
    <col min="13844" max="13844" width="14.453125" customWidth="1"/>
    <col min="13845" max="13848" width="0" hidden="1" customWidth="1"/>
    <col min="13849" max="13849" width="15.26953125" bestFit="1" customWidth="1"/>
    <col min="13850" max="13851" width="0" hidden="1" customWidth="1"/>
    <col min="13852" max="13852" width="14" customWidth="1"/>
    <col min="13853" max="13853" width="10.7265625" customWidth="1"/>
    <col min="14046" max="14047" width="2.7265625" customWidth="1"/>
    <col min="14048" max="14048" width="4.7265625" customWidth="1"/>
    <col min="14049" max="14049" width="38.453125" bestFit="1" customWidth="1"/>
    <col min="14050" max="14050" width="8.26953125" customWidth="1"/>
    <col min="14052" max="14052" width="8.54296875" customWidth="1"/>
    <col min="14053" max="14053" width="9" customWidth="1"/>
    <col min="14054" max="14056" width="0" hidden="1" customWidth="1"/>
    <col min="14057" max="14057" width="13.7265625" customWidth="1"/>
    <col min="14058" max="14061" width="0" hidden="1" customWidth="1"/>
    <col min="14062" max="14062" width="13.7265625" customWidth="1"/>
    <col min="14063" max="14067" width="0" hidden="1" customWidth="1"/>
    <col min="14068" max="14068" width="14.453125" bestFit="1" customWidth="1"/>
    <col min="14069" max="14072" width="0" hidden="1" customWidth="1"/>
    <col min="14073" max="14073" width="14.453125" customWidth="1"/>
    <col min="14074" max="14077" width="0" hidden="1" customWidth="1"/>
    <col min="14078" max="14078" width="14" customWidth="1"/>
    <col min="14079" max="14083" width="0" hidden="1" customWidth="1"/>
    <col min="14084" max="14084" width="14" customWidth="1"/>
    <col min="14085" max="14088" width="0" hidden="1" customWidth="1"/>
    <col min="14089" max="14089" width="13.7265625" customWidth="1"/>
    <col min="14090" max="14093" width="0" hidden="1" customWidth="1"/>
    <col min="14094" max="14094" width="14.453125" bestFit="1" customWidth="1"/>
    <col min="14095" max="14099" width="0" hidden="1" customWidth="1"/>
    <col min="14100" max="14100" width="14.453125" customWidth="1"/>
    <col min="14101" max="14104" width="0" hidden="1" customWidth="1"/>
    <col min="14105" max="14105" width="15.26953125" bestFit="1" customWidth="1"/>
    <col min="14106" max="14107" width="0" hidden="1" customWidth="1"/>
    <col min="14108" max="14108" width="14" customWidth="1"/>
    <col min="14109" max="14109" width="10.7265625" customWidth="1"/>
    <col min="14302" max="14303" width="2.7265625" customWidth="1"/>
    <col min="14304" max="14304" width="4.7265625" customWidth="1"/>
    <col min="14305" max="14305" width="38.453125" bestFit="1" customWidth="1"/>
    <col min="14306" max="14306" width="8.26953125" customWidth="1"/>
    <col min="14308" max="14308" width="8.54296875" customWidth="1"/>
    <col min="14309" max="14309" width="9" customWidth="1"/>
    <col min="14310" max="14312" width="0" hidden="1" customWidth="1"/>
    <col min="14313" max="14313" width="13.7265625" customWidth="1"/>
    <col min="14314" max="14317" width="0" hidden="1" customWidth="1"/>
    <col min="14318" max="14318" width="13.7265625" customWidth="1"/>
    <col min="14319" max="14323" width="0" hidden="1" customWidth="1"/>
    <col min="14324" max="14324" width="14.453125" bestFit="1" customWidth="1"/>
    <col min="14325" max="14328" width="0" hidden="1" customWidth="1"/>
    <col min="14329" max="14329" width="14.453125" customWidth="1"/>
    <col min="14330" max="14333" width="0" hidden="1" customWidth="1"/>
    <col min="14334" max="14334" width="14" customWidth="1"/>
    <col min="14335" max="14339" width="0" hidden="1" customWidth="1"/>
    <col min="14340" max="14340" width="14" customWidth="1"/>
    <col min="14341" max="14344" width="0" hidden="1" customWidth="1"/>
    <col min="14345" max="14345" width="13.7265625" customWidth="1"/>
    <col min="14346" max="14349" width="0" hidden="1" customWidth="1"/>
    <col min="14350" max="14350" width="14.453125" bestFit="1" customWidth="1"/>
    <col min="14351" max="14355" width="0" hidden="1" customWidth="1"/>
    <col min="14356" max="14356" width="14.453125" customWidth="1"/>
    <col min="14357" max="14360" width="0" hidden="1" customWidth="1"/>
    <col min="14361" max="14361" width="15.26953125" bestFit="1" customWidth="1"/>
    <col min="14362" max="14363" width="0" hidden="1" customWidth="1"/>
    <col min="14364" max="14364" width="14" customWidth="1"/>
    <col min="14365" max="14365" width="10.7265625" customWidth="1"/>
    <col min="14558" max="14559" width="2.7265625" customWidth="1"/>
    <col min="14560" max="14560" width="4.7265625" customWidth="1"/>
    <col min="14561" max="14561" width="38.453125" bestFit="1" customWidth="1"/>
    <col min="14562" max="14562" width="8.26953125" customWidth="1"/>
    <col min="14564" max="14564" width="8.54296875" customWidth="1"/>
    <col min="14565" max="14565" width="9" customWidth="1"/>
    <col min="14566" max="14568" width="0" hidden="1" customWidth="1"/>
    <col min="14569" max="14569" width="13.7265625" customWidth="1"/>
    <col min="14570" max="14573" width="0" hidden="1" customWidth="1"/>
    <col min="14574" max="14574" width="13.7265625" customWidth="1"/>
    <col min="14575" max="14579" width="0" hidden="1" customWidth="1"/>
    <col min="14580" max="14580" width="14.453125" bestFit="1" customWidth="1"/>
    <col min="14581" max="14584" width="0" hidden="1" customWidth="1"/>
    <col min="14585" max="14585" width="14.453125" customWidth="1"/>
    <col min="14586" max="14589" width="0" hidden="1" customWidth="1"/>
    <col min="14590" max="14590" width="14" customWidth="1"/>
    <col min="14591" max="14595" width="0" hidden="1" customWidth="1"/>
    <col min="14596" max="14596" width="14" customWidth="1"/>
    <col min="14597" max="14600" width="0" hidden="1" customWidth="1"/>
    <col min="14601" max="14601" width="13.7265625" customWidth="1"/>
    <col min="14602" max="14605" width="0" hidden="1" customWidth="1"/>
    <col min="14606" max="14606" width="14.453125" bestFit="1" customWidth="1"/>
    <col min="14607" max="14611" width="0" hidden="1" customWidth="1"/>
    <col min="14612" max="14612" width="14.453125" customWidth="1"/>
    <col min="14613" max="14616" width="0" hidden="1" customWidth="1"/>
    <col min="14617" max="14617" width="15.26953125" bestFit="1" customWidth="1"/>
    <col min="14618" max="14619" width="0" hidden="1" customWidth="1"/>
    <col min="14620" max="14620" width="14" customWidth="1"/>
    <col min="14621" max="14621" width="10.7265625" customWidth="1"/>
    <col min="14814" max="14815" width="2.7265625" customWidth="1"/>
    <col min="14816" max="14816" width="4.7265625" customWidth="1"/>
    <col min="14817" max="14817" width="38.453125" bestFit="1" customWidth="1"/>
    <col min="14818" max="14818" width="8.26953125" customWidth="1"/>
    <col min="14820" max="14820" width="8.54296875" customWidth="1"/>
    <col min="14821" max="14821" width="9" customWidth="1"/>
    <col min="14822" max="14824" width="0" hidden="1" customWidth="1"/>
    <col min="14825" max="14825" width="13.7265625" customWidth="1"/>
    <col min="14826" max="14829" width="0" hidden="1" customWidth="1"/>
    <col min="14830" max="14830" width="13.7265625" customWidth="1"/>
    <col min="14831" max="14835" width="0" hidden="1" customWidth="1"/>
    <col min="14836" max="14836" width="14.453125" bestFit="1" customWidth="1"/>
    <col min="14837" max="14840" width="0" hidden="1" customWidth="1"/>
    <col min="14841" max="14841" width="14.453125" customWidth="1"/>
    <col min="14842" max="14845" width="0" hidden="1" customWidth="1"/>
    <col min="14846" max="14846" width="14" customWidth="1"/>
    <col min="14847" max="14851" width="0" hidden="1" customWidth="1"/>
    <col min="14852" max="14852" width="14" customWidth="1"/>
    <col min="14853" max="14856" width="0" hidden="1" customWidth="1"/>
    <col min="14857" max="14857" width="13.7265625" customWidth="1"/>
    <col min="14858" max="14861" width="0" hidden="1" customWidth="1"/>
    <col min="14862" max="14862" width="14.453125" bestFit="1" customWidth="1"/>
    <col min="14863" max="14867" width="0" hidden="1" customWidth="1"/>
    <col min="14868" max="14868" width="14.453125" customWidth="1"/>
    <col min="14869" max="14872" width="0" hidden="1" customWidth="1"/>
    <col min="14873" max="14873" width="15.26953125" bestFit="1" customWidth="1"/>
    <col min="14874" max="14875" width="0" hidden="1" customWidth="1"/>
    <col min="14876" max="14876" width="14" customWidth="1"/>
    <col min="14877" max="14877" width="10.7265625" customWidth="1"/>
    <col min="15070" max="15071" width="2.7265625" customWidth="1"/>
    <col min="15072" max="15072" width="4.7265625" customWidth="1"/>
    <col min="15073" max="15073" width="38.453125" bestFit="1" customWidth="1"/>
    <col min="15074" max="15074" width="8.26953125" customWidth="1"/>
    <col min="15076" max="15076" width="8.54296875" customWidth="1"/>
    <col min="15077" max="15077" width="9" customWidth="1"/>
    <col min="15078" max="15080" width="0" hidden="1" customWidth="1"/>
    <col min="15081" max="15081" width="13.7265625" customWidth="1"/>
    <col min="15082" max="15085" width="0" hidden="1" customWidth="1"/>
    <col min="15086" max="15086" width="13.7265625" customWidth="1"/>
    <col min="15087" max="15091" width="0" hidden="1" customWidth="1"/>
    <col min="15092" max="15092" width="14.453125" bestFit="1" customWidth="1"/>
    <col min="15093" max="15096" width="0" hidden="1" customWidth="1"/>
    <col min="15097" max="15097" width="14.453125" customWidth="1"/>
    <col min="15098" max="15101" width="0" hidden="1" customWidth="1"/>
    <col min="15102" max="15102" width="14" customWidth="1"/>
    <col min="15103" max="15107" width="0" hidden="1" customWidth="1"/>
    <col min="15108" max="15108" width="14" customWidth="1"/>
    <col min="15109" max="15112" width="0" hidden="1" customWidth="1"/>
    <col min="15113" max="15113" width="13.7265625" customWidth="1"/>
    <col min="15114" max="15117" width="0" hidden="1" customWidth="1"/>
    <col min="15118" max="15118" width="14.453125" bestFit="1" customWidth="1"/>
    <col min="15119" max="15123" width="0" hidden="1" customWidth="1"/>
    <col min="15124" max="15124" width="14.453125" customWidth="1"/>
    <col min="15125" max="15128" width="0" hidden="1" customWidth="1"/>
    <col min="15129" max="15129" width="15.26953125" bestFit="1" customWidth="1"/>
    <col min="15130" max="15131" width="0" hidden="1" customWidth="1"/>
    <col min="15132" max="15132" width="14" customWidth="1"/>
    <col min="15133" max="15133" width="10.7265625" customWidth="1"/>
    <col min="15326" max="15327" width="2.7265625" customWidth="1"/>
    <col min="15328" max="15328" width="4.7265625" customWidth="1"/>
    <col min="15329" max="15329" width="38.453125" bestFit="1" customWidth="1"/>
    <col min="15330" max="15330" width="8.26953125" customWidth="1"/>
    <col min="15332" max="15332" width="8.54296875" customWidth="1"/>
    <col min="15333" max="15333" width="9" customWidth="1"/>
    <col min="15334" max="15336" width="0" hidden="1" customWidth="1"/>
    <col min="15337" max="15337" width="13.7265625" customWidth="1"/>
    <col min="15338" max="15341" width="0" hidden="1" customWidth="1"/>
    <col min="15342" max="15342" width="13.7265625" customWidth="1"/>
    <col min="15343" max="15347" width="0" hidden="1" customWidth="1"/>
    <col min="15348" max="15348" width="14.453125" bestFit="1" customWidth="1"/>
    <col min="15349" max="15352" width="0" hidden="1" customWidth="1"/>
    <col min="15353" max="15353" width="14.453125" customWidth="1"/>
    <col min="15354" max="15357" width="0" hidden="1" customWidth="1"/>
    <col min="15358" max="15358" width="14" customWidth="1"/>
    <col min="15359" max="15363" width="0" hidden="1" customWidth="1"/>
    <col min="15364" max="15364" width="14" customWidth="1"/>
    <col min="15365" max="15368" width="0" hidden="1" customWidth="1"/>
    <col min="15369" max="15369" width="13.7265625" customWidth="1"/>
    <col min="15370" max="15373" width="0" hidden="1" customWidth="1"/>
    <col min="15374" max="15374" width="14.453125" bestFit="1" customWidth="1"/>
    <col min="15375" max="15379" width="0" hidden="1" customWidth="1"/>
    <col min="15380" max="15380" width="14.453125" customWidth="1"/>
    <col min="15381" max="15384" width="0" hidden="1" customWidth="1"/>
    <col min="15385" max="15385" width="15.26953125" bestFit="1" customWidth="1"/>
    <col min="15386" max="15387" width="0" hidden="1" customWidth="1"/>
    <col min="15388" max="15388" width="14" customWidth="1"/>
    <col min="15389" max="15389" width="10.7265625" customWidth="1"/>
    <col min="15582" max="15583" width="2.7265625" customWidth="1"/>
    <col min="15584" max="15584" width="4.7265625" customWidth="1"/>
    <col min="15585" max="15585" width="38.453125" bestFit="1" customWidth="1"/>
    <col min="15586" max="15586" width="8.26953125" customWidth="1"/>
    <col min="15588" max="15588" width="8.54296875" customWidth="1"/>
    <col min="15589" max="15589" width="9" customWidth="1"/>
    <col min="15590" max="15592" width="0" hidden="1" customWidth="1"/>
    <col min="15593" max="15593" width="13.7265625" customWidth="1"/>
    <col min="15594" max="15597" width="0" hidden="1" customWidth="1"/>
    <col min="15598" max="15598" width="13.7265625" customWidth="1"/>
    <col min="15599" max="15603" width="0" hidden="1" customWidth="1"/>
    <col min="15604" max="15604" width="14.453125" bestFit="1" customWidth="1"/>
    <col min="15605" max="15608" width="0" hidden="1" customWidth="1"/>
    <col min="15609" max="15609" width="14.453125" customWidth="1"/>
    <col min="15610" max="15613" width="0" hidden="1" customWidth="1"/>
    <col min="15614" max="15614" width="14" customWidth="1"/>
    <col min="15615" max="15619" width="0" hidden="1" customWidth="1"/>
    <col min="15620" max="15620" width="14" customWidth="1"/>
    <col min="15621" max="15624" width="0" hidden="1" customWidth="1"/>
    <col min="15625" max="15625" width="13.7265625" customWidth="1"/>
    <col min="15626" max="15629" width="0" hidden="1" customWidth="1"/>
    <col min="15630" max="15630" width="14.453125" bestFit="1" customWidth="1"/>
    <col min="15631" max="15635" width="0" hidden="1" customWidth="1"/>
    <col min="15636" max="15636" width="14.453125" customWidth="1"/>
    <col min="15637" max="15640" width="0" hidden="1" customWidth="1"/>
    <col min="15641" max="15641" width="15.26953125" bestFit="1" customWidth="1"/>
    <col min="15642" max="15643" width="0" hidden="1" customWidth="1"/>
    <col min="15644" max="15644" width="14" customWidth="1"/>
    <col min="15645" max="15645" width="10.7265625" customWidth="1"/>
    <col min="15838" max="15839" width="2.7265625" customWidth="1"/>
    <col min="15840" max="15840" width="4.7265625" customWidth="1"/>
    <col min="15841" max="15841" width="38.453125" bestFit="1" customWidth="1"/>
    <col min="15842" max="15842" width="8.26953125" customWidth="1"/>
    <col min="15844" max="15844" width="8.54296875" customWidth="1"/>
    <col min="15845" max="15845" width="9" customWidth="1"/>
    <col min="15846" max="15848" width="0" hidden="1" customWidth="1"/>
    <col min="15849" max="15849" width="13.7265625" customWidth="1"/>
    <col min="15850" max="15853" width="0" hidden="1" customWidth="1"/>
    <col min="15854" max="15854" width="13.7265625" customWidth="1"/>
    <col min="15855" max="15859" width="0" hidden="1" customWidth="1"/>
    <col min="15860" max="15860" width="14.453125" bestFit="1" customWidth="1"/>
    <col min="15861" max="15864" width="0" hidden="1" customWidth="1"/>
    <col min="15865" max="15865" width="14.453125" customWidth="1"/>
    <col min="15866" max="15869" width="0" hidden="1" customWidth="1"/>
    <col min="15870" max="15870" width="14" customWidth="1"/>
    <col min="15871" max="15875" width="0" hidden="1" customWidth="1"/>
    <col min="15876" max="15876" width="14" customWidth="1"/>
    <col min="15877" max="15880" width="0" hidden="1" customWidth="1"/>
    <col min="15881" max="15881" width="13.7265625" customWidth="1"/>
    <col min="15882" max="15885" width="0" hidden="1" customWidth="1"/>
    <col min="15886" max="15886" width="14.453125" bestFit="1" customWidth="1"/>
    <col min="15887" max="15891" width="0" hidden="1" customWidth="1"/>
    <col min="15892" max="15892" width="14.453125" customWidth="1"/>
    <col min="15893" max="15896" width="0" hidden="1" customWidth="1"/>
    <col min="15897" max="15897" width="15.26953125" bestFit="1" customWidth="1"/>
    <col min="15898" max="15899" width="0" hidden="1" customWidth="1"/>
    <col min="15900" max="15900" width="14" customWidth="1"/>
    <col min="15901" max="15901" width="10.7265625" customWidth="1"/>
    <col min="16094" max="16095" width="2.7265625" customWidth="1"/>
    <col min="16096" max="16096" width="4.7265625" customWidth="1"/>
    <col min="16097" max="16097" width="38.453125" bestFit="1" customWidth="1"/>
    <col min="16098" max="16098" width="8.26953125" customWidth="1"/>
    <col min="16100" max="16100" width="8.54296875" customWidth="1"/>
    <col min="16101" max="16101" width="9" customWidth="1"/>
    <col min="16102" max="16104" width="0" hidden="1" customWidth="1"/>
    <col min="16105" max="16105" width="13.7265625" customWidth="1"/>
    <col min="16106" max="16109" width="0" hidden="1" customWidth="1"/>
    <col min="16110" max="16110" width="13.7265625" customWidth="1"/>
    <col min="16111" max="16115" width="0" hidden="1" customWidth="1"/>
    <col min="16116" max="16116" width="14.453125" bestFit="1" customWidth="1"/>
    <col min="16117" max="16120" width="0" hidden="1" customWidth="1"/>
    <col min="16121" max="16121" width="14.453125" customWidth="1"/>
    <col min="16122" max="16125" width="0" hidden="1" customWidth="1"/>
    <col min="16126" max="16126" width="14" customWidth="1"/>
    <col min="16127" max="16131" width="0" hidden="1" customWidth="1"/>
    <col min="16132" max="16132" width="14" customWidth="1"/>
    <col min="16133" max="16136" width="0" hidden="1" customWidth="1"/>
    <col min="16137" max="16137" width="13.7265625" customWidth="1"/>
    <col min="16138" max="16141" width="0" hidden="1" customWidth="1"/>
    <col min="16142" max="16142" width="14.453125" bestFit="1" customWidth="1"/>
    <col min="16143" max="16147" width="0" hidden="1" customWidth="1"/>
    <col min="16148" max="16148" width="14.453125" customWidth="1"/>
    <col min="16149" max="16152" width="0" hidden="1" customWidth="1"/>
    <col min="16153" max="16153" width="15.26953125" bestFit="1" customWidth="1"/>
    <col min="16154" max="16155" width="0" hidden="1" customWidth="1"/>
    <col min="16156" max="16156" width="14" customWidth="1"/>
    <col min="16157" max="16157" width="10.7265625" customWidth="1"/>
  </cols>
  <sheetData>
    <row r="1" spans="2:54" s="30" customFormat="1" ht="25.5" customHeight="1" x14ac:dyDescent="0.5">
      <c r="B1" s="122" t="s">
        <v>759</v>
      </c>
      <c r="C1" s="123"/>
      <c r="D1" s="123"/>
      <c r="E1" s="123"/>
      <c r="F1" s="123"/>
      <c r="G1" s="123"/>
      <c r="H1" s="35"/>
      <c r="I1" s="35"/>
      <c r="J1" s="35"/>
      <c r="K1" s="35"/>
      <c r="L1" s="35"/>
      <c r="M1" s="35"/>
      <c r="N1" s="35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8"/>
      <c r="BA1" s="64">
        <f ca="1">TODAY()</f>
        <v>46189</v>
      </c>
    </row>
    <row r="2" spans="2:54" s="31" customFormat="1" ht="18" customHeight="1" x14ac:dyDescent="0.3">
      <c r="B2" s="124"/>
      <c r="C2" s="126"/>
      <c r="D2" s="39"/>
      <c r="E2" s="39"/>
      <c r="F2" s="39"/>
      <c r="G2" s="39"/>
      <c r="H2" s="33"/>
      <c r="I2" s="60" t="s">
        <v>703</v>
      </c>
      <c r="J2" s="60" t="s">
        <v>704</v>
      </c>
      <c r="K2" s="60" t="s">
        <v>705</v>
      </c>
      <c r="L2" s="60" t="s">
        <v>706</v>
      </c>
      <c r="M2" s="60" t="s">
        <v>707</v>
      </c>
      <c r="N2" s="60" t="s">
        <v>708</v>
      </c>
      <c r="O2" s="60" t="s">
        <v>709</v>
      </c>
      <c r="P2" s="60" t="s">
        <v>710</v>
      </c>
      <c r="Q2" s="60" t="s">
        <v>711</v>
      </c>
      <c r="R2" s="60" t="s">
        <v>712</v>
      </c>
      <c r="S2" s="60" t="s">
        <v>713</v>
      </c>
      <c r="T2" s="60" t="s">
        <v>714</v>
      </c>
      <c r="U2" s="60" t="s">
        <v>715</v>
      </c>
      <c r="V2" s="60" t="s">
        <v>716</v>
      </c>
      <c r="W2" s="60" t="s">
        <v>717</v>
      </c>
      <c r="X2" s="60" t="s">
        <v>718</v>
      </c>
      <c r="Y2" s="60" t="s">
        <v>719</v>
      </c>
      <c r="Z2" s="60" t="s">
        <v>720</v>
      </c>
      <c r="AA2" s="60" t="s">
        <v>721</v>
      </c>
      <c r="AB2" s="60" t="s">
        <v>722</v>
      </c>
      <c r="AC2" s="60" t="s">
        <v>723</v>
      </c>
      <c r="AD2" s="60" t="s">
        <v>724</v>
      </c>
      <c r="AE2" s="60" t="s">
        <v>725</v>
      </c>
      <c r="AF2" s="60" t="s">
        <v>726</v>
      </c>
      <c r="AG2" s="60" t="s">
        <v>727</v>
      </c>
      <c r="AH2" s="60" t="s">
        <v>728</v>
      </c>
      <c r="AI2" s="60" t="s">
        <v>729</v>
      </c>
      <c r="AJ2" s="60" t="s">
        <v>730</v>
      </c>
      <c r="AK2" s="60" t="s">
        <v>731</v>
      </c>
      <c r="AL2" s="60" t="s">
        <v>732</v>
      </c>
      <c r="AM2" s="60" t="s">
        <v>733</v>
      </c>
      <c r="AN2" s="60" t="s">
        <v>734</v>
      </c>
      <c r="AO2" s="60" t="s">
        <v>735</v>
      </c>
      <c r="AP2" s="60" t="s">
        <v>736</v>
      </c>
      <c r="AQ2" s="60" t="s">
        <v>737</v>
      </c>
      <c r="AR2" s="60" t="s">
        <v>738</v>
      </c>
      <c r="AS2" s="60" t="s">
        <v>739</v>
      </c>
      <c r="AT2" s="60" t="s">
        <v>740</v>
      </c>
      <c r="AU2" s="60" t="s">
        <v>741</v>
      </c>
      <c r="AV2" s="60" t="s">
        <v>742</v>
      </c>
      <c r="AW2" s="60" t="s">
        <v>743</v>
      </c>
      <c r="AX2" s="60" t="s">
        <v>744</v>
      </c>
      <c r="AY2" s="60" t="s">
        <v>745</v>
      </c>
      <c r="AZ2" s="61" t="s">
        <v>746</v>
      </c>
    </row>
    <row r="3" spans="2:54" s="31" customFormat="1" ht="60.5" customHeight="1" x14ac:dyDescent="0.3">
      <c r="B3" s="125"/>
      <c r="C3" s="127"/>
      <c r="D3" s="39"/>
      <c r="E3" s="39"/>
      <c r="F3" s="39"/>
      <c r="G3" s="39"/>
      <c r="H3" s="34">
        <v>45791</v>
      </c>
      <c r="I3" s="62">
        <v>46111</v>
      </c>
      <c r="J3" s="62">
        <f>I3+7</f>
        <v>46118</v>
      </c>
      <c r="K3" s="62">
        <f t="shared" ref="K3:AZ3" si="0">J3+7</f>
        <v>46125</v>
      </c>
      <c r="L3" s="62">
        <f t="shared" si="0"/>
        <v>46132</v>
      </c>
      <c r="M3" s="62">
        <f t="shared" si="0"/>
        <v>46139</v>
      </c>
      <c r="N3" s="62">
        <f t="shared" si="0"/>
        <v>46146</v>
      </c>
      <c r="O3" s="62">
        <f t="shared" si="0"/>
        <v>46153</v>
      </c>
      <c r="P3" s="62">
        <f t="shared" si="0"/>
        <v>46160</v>
      </c>
      <c r="Q3" s="62">
        <f t="shared" si="0"/>
        <v>46167</v>
      </c>
      <c r="R3" s="62">
        <f t="shared" si="0"/>
        <v>46174</v>
      </c>
      <c r="S3" s="62">
        <f t="shared" si="0"/>
        <v>46181</v>
      </c>
      <c r="T3" s="62">
        <f t="shared" si="0"/>
        <v>46188</v>
      </c>
      <c r="U3" s="62">
        <f t="shared" si="0"/>
        <v>46195</v>
      </c>
      <c r="V3" s="62">
        <f t="shared" si="0"/>
        <v>46202</v>
      </c>
      <c r="W3" s="62">
        <f t="shared" si="0"/>
        <v>46209</v>
      </c>
      <c r="X3" s="62">
        <f t="shared" si="0"/>
        <v>46216</v>
      </c>
      <c r="Y3" s="62">
        <f t="shared" si="0"/>
        <v>46223</v>
      </c>
      <c r="Z3" s="62">
        <f t="shared" si="0"/>
        <v>46230</v>
      </c>
      <c r="AA3" s="62">
        <f t="shared" si="0"/>
        <v>46237</v>
      </c>
      <c r="AB3" s="62">
        <f t="shared" si="0"/>
        <v>46244</v>
      </c>
      <c r="AC3" s="62">
        <f t="shared" si="0"/>
        <v>46251</v>
      </c>
      <c r="AD3" s="62">
        <f t="shared" si="0"/>
        <v>46258</v>
      </c>
      <c r="AE3" s="62">
        <f t="shared" si="0"/>
        <v>46265</v>
      </c>
      <c r="AF3" s="62">
        <f t="shared" si="0"/>
        <v>46272</v>
      </c>
      <c r="AG3" s="62">
        <f t="shared" si="0"/>
        <v>46279</v>
      </c>
      <c r="AH3" s="62">
        <f t="shared" si="0"/>
        <v>46286</v>
      </c>
      <c r="AI3" s="62">
        <f t="shared" si="0"/>
        <v>46293</v>
      </c>
      <c r="AJ3" s="62">
        <f t="shared" si="0"/>
        <v>46300</v>
      </c>
      <c r="AK3" s="62">
        <f t="shared" si="0"/>
        <v>46307</v>
      </c>
      <c r="AL3" s="62">
        <f t="shared" si="0"/>
        <v>46314</v>
      </c>
      <c r="AM3" s="62">
        <f t="shared" si="0"/>
        <v>46321</v>
      </c>
      <c r="AN3" s="62">
        <f t="shared" si="0"/>
        <v>46328</v>
      </c>
      <c r="AO3" s="62">
        <f t="shared" si="0"/>
        <v>46335</v>
      </c>
      <c r="AP3" s="62">
        <f t="shared" si="0"/>
        <v>46342</v>
      </c>
      <c r="AQ3" s="62">
        <f t="shared" si="0"/>
        <v>46349</v>
      </c>
      <c r="AR3" s="62">
        <f t="shared" si="0"/>
        <v>46356</v>
      </c>
      <c r="AS3" s="62">
        <f t="shared" si="0"/>
        <v>46363</v>
      </c>
      <c r="AT3" s="62">
        <f t="shared" si="0"/>
        <v>46370</v>
      </c>
      <c r="AU3" s="62">
        <f t="shared" si="0"/>
        <v>46377</v>
      </c>
      <c r="AV3" s="62">
        <f t="shared" si="0"/>
        <v>46384</v>
      </c>
      <c r="AW3" s="62">
        <f t="shared" si="0"/>
        <v>46391</v>
      </c>
      <c r="AX3" s="62">
        <f t="shared" si="0"/>
        <v>46398</v>
      </c>
      <c r="AY3" s="62">
        <f t="shared" si="0"/>
        <v>46405</v>
      </c>
      <c r="AZ3" s="63">
        <f t="shared" si="0"/>
        <v>46412</v>
      </c>
    </row>
    <row r="4" spans="2:54" s="48" customFormat="1" ht="30" customHeight="1" x14ac:dyDescent="0.25">
      <c r="B4" s="43"/>
      <c r="C4" s="44" t="s">
        <v>773</v>
      </c>
      <c r="D4" s="50" t="s">
        <v>749</v>
      </c>
      <c r="E4" s="50" t="s">
        <v>750</v>
      </c>
      <c r="F4" s="50" t="s">
        <v>747</v>
      </c>
      <c r="G4" s="50" t="s">
        <v>748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6"/>
      <c r="BA4" s="47"/>
      <c r="BB4" s="47"/>
    </row>
    <row r="5" spans="2:54" s="32" customFormat="1" ht="30" customHeight="1" outlineLevel="1" x14ac:dyDescent="0.35">
      <c r="B5" s="40" t="s">
        <v>27</v>
      </c>
      <c r="C5" s="49" t="s">
        <v>28</v>
      </c>
      <c r="D5" s="51" t="s">
        <v>22</v>
      </c>
      <c r="E5" s="51" t="s">
        <v>758</v>
      </c>
      <c r="F5" s="52">
        <f>VLOOKUP($B5,'Base dados'!$A:$K,10,0)</f>
        <v>0</v>
      </c>
      <c r="G5" s="52">
        <f>VLOOKUP($B5,'Base dados'!$A:$K,11,0)</f>
        <v>0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4"/>
      <c r="BA5" s="31"/>
      <c r="BB5" s="31"/>
    </row>
    <row r="6" spans="2:54" s="32" customFormat="1" ht="30" customHeight="1" outlineLevel="1" x14ac:dyDescent="0.35">
      <c r="B6" s="40" t="s">
        <v>11</v>
      </c>
      <c r="C6" s="49" t="s">
        <v>441</v>
      </c>
      <c r="D6" s="51" t="s">
        <v>22</v>
      </c>
      <c r="E6" s="51" t="s">
        <v>758</v>
      </c>
      <c r="F6" s="52">
        <f>VLOOKUP($B6,'Base dados'!$A:$K,10,0)</f>
        <v>0</v>
      </c>
      <c r="G6" s="52">
        <f>VLOOKUP($B6,'Base dados'!$A:$K,11,0)</f>
        <v>0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4"/>
      <c r="BA6" s="31"/>
      <c r="BB6" s="31"/>
    </row>
    <row r="7" spans="2:54" s="32" customFormat="1" ht="30" customHeight="1" outlineLevel="1" x14ac:dyDescent="0.35">
      <c r="B7" s="40" t="s">
        <v>10</v>
      </c>
      <c r="C7" s="49" t="s">
        <v>440</v>
      </c>
      <c r="D7" s="51" t="s">
        <v>22</v>
      </c>
      <c r="E7" s="51" t="s">
        <v>758</v>
      </c>
      <c r="F7" s="52">
        <f>VLOOKUP($B7,'Base dados'!$A:$K,10,0)</f>
        <v>0</v>
      </c>
      <c r="G7" s="52">
        <f>VLOOKUP($B7,'Base dados'!$A:$K,11,0)</f>
        <v>0</v>
      </c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4"/>
      <c r="BA7" s="31"/>
      <c r="BB7" s="31"/>
    </row>
    <row r="8" spans="2:54" s="32" customFormat="1" ht="30" customHeight="1" outlineLevel="1" x14ac:dyDescent="0.35">
      <c r="B8" s="40" t="s">
        <v>9</v>
      </c>
      <c r="C8" s="49" t="s">
        <v>439</v>
      </c>
      <c r="D8" s="51" t="s">
        <v>22</v>
      </c>
      <c r="E8" s="51" t="s">
        <v>758</v>
      </c>
      <c r="F8" s="52">
        <f>VLOOKUP($B8,'Base dados'!$A:$K,10,0)</f>
        <v>0</v>
      </c>
      <c r="G8" s="52">
        <f>VLOOKUP($B8,'Base dados'!$A:$K,11,0)</f>
        <v>0</v>
      </c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4"/>
      <c r="BA8" s="31"/>
      <c r="BB8" s="31"/>
    </row>
    <row r="9" spans="2:54" s="32" customFormat="1" ht="30" customHeight="1" outlineLevel="1" x14ac:dyDescent="0.35">
      <c r="B9" s="40" t="s">
        <v>3</v>
      </c>
      <c r="C9" s="49" t="s">
        <v>340</v>
      </c>
      <c r="D9" s="51" t="s">
        <v>22</v>
      </c>
      <c r="E9" s="51" t="s">
        <v>758</v>
      </c>
      <c r="F9" s="52">
        <f>VLOOKUP($B9,'Base dados'!$A:$K,10,0)</f>
        <v>0</v>
      </c>
      <c r="G9" s="52">
        <f>VLOOKUP($B9,'Base dados'!$A:$K,11,0)</f>
        <v>0</v>
      </c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4"/>
      <c r="BA9" s="31"/>
      <c r="BB9" s="31"/>
    </row>
    <row r="10" spans="2:54" s="32" customFormat="1" ht="30" customHeight="1" outlineLevel="1" x14ac:dyDescent="0.35">
      <c r="B10" s="40" t="s">
        <v>82</v>
      </c>
      <c r="C10" s="49" t="s">
        <v>83</v>
      </c>
      <c r="D10" s="51" t="s">
        <v>434</v>
      </c>
      <c r="E10" s="51" t="s">
        <v>758</v>
      </c>
      <c r="F10" s="52">
        <f>VLOOKUP($B10,'Base dados'!$A:$K,10,0)</f>
        <v>0</v>
      </c>
      <c r="G10" s="52">
        <f>VLOOKUP($B10,'Base dados'!$A:$K,11,0)</f>
        <v>0</v>
      </c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4"/>
      <c r="BA10" s="31"/>
      <c r="BB10" s="31"/>
    </row>
    <row r="11" spans="2:54" s="32" customFormat="1" ht="30" customHeight="1" outlineLevel="1" x14ac:dyDescent="0.35">
      <c r="B11" s="40" t="s">
        <v>285</v>
      </c>
      <c r="C11" s="49" t="s">
        <v>286</v>
      </c>
      <c r="D11" s="51" t="s">
        <v>22</v>
      </c>
      <c r="E11" s="51" t="s">
        <v>758</v>
      </c>
      <c r="F11" s="52">
        <f>VLOOKUP($B11,'Base dados'!$A:$K,10,0)</f>
        <v>0</v>
      </c>
      <c r="G11" s="52">
        <f>VLOOKUP($B11,'Base dados'!$A:$K,11,0)</f>
        <v>0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4"/>
      <c r="BA11" s="31"/>
      <c r="BB11" s="31"/>
    </row>
    <row r="12" spans="2:54" s="32" customFormat="1" ht="30" customHeight="1" outlineLevel="1" x14ac:dyDescent="0.35">
      <c r="B12" s="40" t="s">
        <v>283</v>
      </c>
      <c r="C12" s="49" t="s">
        <v>284</v>
      </c>
      <c r="D12" s="51" t="s">
        <v>22</v>
      </c>
      <c r="E12" s="51" t="s">
        <v>758</v>
      </c>
      <c r="F12" s="52">
        <f>VLOOKUP($B12,'Base dados'!$A:$K,10,0)</f>
        <v>0</v>
      </c>
      <c r="G12" s="52">
        <f>VLOOKUP($B12,'Base dados'!$A:$K,11,0)</f>
        <v>0</v>
      </c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4"/>
      <c r="BA12" s="31"/>
      <c r="BB12" s="31"/>
    </row>
    <row r="13" spans="2:54" s="32" customFormat="1" ht="30" customHeight="1" outlineLevel="1" x14ac:dyDescent="0.35">
      <c r="B13" s="40" t="s">
        <v>281</v>
      </c>
      <c r="C13" s="49" t="s">
        <v>282</v>
      </c>
      <c r="D13" s="51" t="s">
        <v>445</v>
      </c>
      <c r="E13" s="51" t="s">
        <v>758</v>
      </c>
      <c r="F13" s="52" t="e">
        <f>VLOOKUP($B13,'Base dados'!$A:$K,10,0)</f>
        <v>#N/A</v>
      </c>
      <c r="G13" s="52" t="e">
        <f>VLOOKUP($B13,'Base dados'!$A:$K,11,0)</f>
        <v>#N/A</v>
      </c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4"/>
      <c r="BA13" s="31"/>
      <c r="BB13" s="31"/>
    </row>
    <row r="14" spans="2:54" s="32" customFormat="1" ht="30" customHeight="1" outlineLevel="1" x14ac:dyDescent="0.35">
      <c r="B14" s="40" t="s">
        <v>315</v>
      </c>
      <c r="C14" s="49" t="s">
        <v>316</v>
      </c>
      <c r="D14" s="51" t="s">
        <v>22</v>
      </c>
      <c r="E14" s="51" t="s">
        <v>758</v>
      </c>
      <c r="F14" s="52">
        <f>VLOOKUP($B14,'Base dados'!$A:$K,10,0)</f>
        <v>0</v>
      </c>
      <c r="G14" s="52">
        <f>VLOOKUP($B14,'Base dados'!$A:$K,11,0)</f>
        <v>0</v>
      </c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4"/>
      <c r="BA14" s="31"/>
      <c r="BB14" s="31"/>
    </row>
    <row r="15" spans="2:54" s="32" customFormat="1" ht="30" customHeight="1" outlineLevel="1" x14ac:dyDescent="0.35">
      <c r="B15" s="40" t="s">
        <v>307</v>
      </c>
      <c r="C15" s="49" t="s">
        <v>308</v>
      </c>
      <c r="D15" s="51" t="s">
        <v>22</v>
      </c>
      <c r="E15" s="51" t="s">
        <v>758</v>
      </c>
      <c r="F15" s="52">
        <f>VLOOKUP($B15,'Base dados'!$A:$K,10,0)</f>
        <v>0</v>
      </c>
      <c r="G15" s="52">
        <f>VLOOKUP($B15,'Base dados'!$A:$K,11,0)</f>
        <v>0</v>
      </c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4"/>
      <c r="BA15" s="31"/>
      <c r="BB15" s="31"/>
    </row>
    <row r="16" spans="2:54" s="32" customFormat="1" ht="30" customHeight="1" outlineLevel="1" x14ac:dyDescent="0.35">
      <c r="B16" s="40" t="s">
        <v>305</v>
      </c>
      <c r="C16" s="49" t="s">
        <v>306</v>
      </c>
      <c r="D16" s="51" t="s">
        <v>22</v>
      </c>
      <c r="E16" s="51" t="s">
        <v>758</v>
      </c>
      <c r="F16" s="52">
        <f>VLOOKUP($B16,'Base dados'!$A:$K,10,0)</f>
        <v>0</v>
      </c>
      <c r="G16" s="52">
        <f>VLOOKUP($B16,'Base dados'!$A:$K,11,0)</f>
        <v>0</v>
      </c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4"/>
      <c r="BA16" s="31"/>
      <c r="BB16" s="31"/>
    </row>
    <row r="17" spans="2:54" s="32" customFormat="1" ht="30" customHeight="1" outlineLevel="1" x14ac:dyDescent="0.35">
      <c r="B17" s="40" t="s">
        <v>375</v>
      </c>
      <c r="C17" s="49" t="s">
        <v>488</v>
      </c>
      <c r="D17" s="51" t="s">
        <v>489</v>
      </c>
      <c r="E17" s="51" t="s">
        <v>758</v>
      </c>
      <c r="F17" s="52">
        <f>VLOOKUP($B17,'Base dados'!$A:$K,10,0)</f>
        <v>0</v>
      </c>
      <c r="G17" s="52">
        <f>VLOOKUP($B17,'Base dados'!$A:$K,11,0)</f>
        <v>0</v>
      </c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4"/>
      <c r="BA17" s="31"/>
      <c r="BB17" s="31"/>
    </row>
    <row r="18" spans="2:54" s="32" customFormat="1" ht="30" customHeight="1" outlineLevel="1" x14ac:dyDescent="0.35">
      <c r="B18" s="40" t="s">
        <v>549</v>
      </c>
      <c r="C18" s="49" t="s">
        <v>550</v>
      </c>
      <c r="D18" s="51" t="s">
        <v>523</v>
      </c>
      <c r="E18" s="51" t="s">
        <v>758</v>
      </c>
      <c r="F18" s="52">
        <f>VLOOKUP($B18,'Base dados'!$A:$K,10,0)</f>
        <v>0</v>
      </c>
      <c r="G18" s="52">
        <f>VLOOKUP($B18,'Base dados'!$A:$K,11,0)</f>
        <v>0</v>
      </c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4"/>
      <c r="BA18" s="31"/>
      <c r="BB18" s="31"/>
    </row>
    <row r="19" spans="2:54" s="32" customFormat="1" ht="30" customHeight="1" outlineLevel="1" x14ac:dyDescent="0.35">
      <c r="B19" s="40" t="s">
        <v>646</v>
      </c>
      <c r="C19" s="49" t="s">
        <v>647</v>
      </c>
      <c r="D19" s="51" t="s">
        <v>271</v>
      </c>
      <c r="E19" s="51" t="s">
        <v>758</v>
      </c>
      <c r="F19" s="52">
        <f>VLOOKUP($B19,'Base dados'!$A:$K,10,0)</f>
        <v>0</v>
      </c>
      <c r="G19" s="52">
        <f>VLOOKUP($B19,'Base dados'!$A:$K,11,0)</f>
        <v>0</v>
      </c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4"/>
      <c r="BA19" s="31"/>
      <c r="BB19" s="31"/>
    </row>
    <row r="20" spans="2:54" s="32" customFormat="1" ht="30" customHeight="1" outlineLevel="1" x14ac:dyDescent="0.35">
      <c r="B20" s="40" t="s">
        <v>16</v>
      </c>
      <c r="C20" s="49" t="s">
        <v>17</v>
      </c>
      <c r="D20" s="51" t="s">
        <v>5</v>
      </c>
      <c r="E20" s="51" t="s">
        <v>757</v>
      </c>
      <c r="F20" s="52">
        <f>VLOOKUP($B20,'Base dados'!$A:$K,10,0)</f>
        <v>0</v>
      </c>
      <c r="G20" s="52">
        <f>VLOOKUP($B20,'Base dados'!$A:$K,11,0)</f>
        <v>0</v>
      </c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4"/>
      <c r="BA20" s="31"/>
      <c r="BB20" s="31"/>
    </row>
    <row r="21" spans="2:54" s="32" customFormat="1" ht="30" customHeight="1" outlineLevel="1" x14ac:dyDescent="0.35">
      <c r="B21" s="40" t="s">
        <v>591</v>
      </c>
      <c r="C21" s="49" t="s">
        <v>592</v>
      </c>
      <c r="D21" s="51" t="s">
        <v>5</v>
      </c>
      <c r="E21" s="51" t="s">
        <v>757</v>
      </c>
      <c r="F21" s="52">
        <f>VLOOKUP($B21,'Base dados'!$A:$K,10,0)</f>
        <v>0</v>
      </c>
      <c r="G21" s="52">
        <f>VLOOKUP($B21,'Base dados'!$A:$K,11,0)</f>
        <v>0</v>
      </c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4"/>
      <c r="BA21" s="31"/>
      <c r="BB21" s="31"/>
    </row>
    <row r="22" spans="2:54" s="32" customFormat="1" ht="30" customHeight="1" outlineLevel="1" x14ac:dyDescent="0.35">
      <c r="B22" s="40" t="s">
        <v>623</v>
      </c>
      <c r="C22" s="49" t="s">
        <v>624</v>
      </c>
      <c r="D22" s="51" t="s">
        <v>5</v>
      </c>
      <c r="E22" s="51" t="s">
        <v>757</v>
      </c>
      <c r="F22" s="52" t="e">
        <f>VLOOKUP($B22,'Base dados'!$A:$K,10,0)</f>
        <v>#N/A</v>
      </c>
      <c r="G22" s="52" t="e">
        <f>VLOOKUP($B22,'Base dados'!$A:$K,11,0)</f>
        <v>#N/A</v>
      </c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4"/>
      <c r="BA22" s="31"/>
      <c r="BB22" s="31"/>
    </row>
    <row r="23" spans="2:54" s="32" customFormat="1" ht="30" customHeight="1" outlineLevel="1" x14ac:dyDescent="0.35">
      <c r="B23" s="40" t="s">
        <v>670</v>
      </c>
      <c r="C23" s="49" t="s">
        <v>671</v>
      </c>
      <c r="D23" s="51" t="s">
        <v>5</v>
      </c>
      <c r="E23" s="51" t="s">
        <v>757</v>
      </c>
      <c r="F23" s="52">
        <f>VLOOKUP($B23,'Base dados'!$A:$K,10,0)</f>
        <v>0</v>
      </c>
      <c r="G23" s="52">
        <f>VLOOKUP($B23,'Base dados'!$A:$K,11,0)</f>
        <v>0</v>
      </c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4"/>
      <c r="BA23" s="31"/>
      <c r="BB23" s="31"/>
    </row>
    <row r="24" spans="2:54" s="32" customFormat="1" ht="30" customHeight="1" outlineLevel="1" x14ac:dyDescent="0.35">
      <c r="B24" s="40" t="s">
        <v>672</v>
      </c>
      <c r="C24" s="49" t="s">
        <v>673</v>
      </c>
      <c r="D24" s="51" t="s">
        <v>5</v>
      </c>
      <c r="E24" s="51" t="s">
        <v>757</v>
      </c>
      <c r="F24" s="52" t="e">
        <f>VLOOKUP($B24,'Base dados'!$A:$K,10,0)</f>
        <v>#N/A</v>
      </c>
      <c r="G24" s="52" t="e">
        <f>VLOOKUP($B24,'Base dados'!$A:$K,11,0)</f>
        <v>#N/A</v>
      </c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4"/>
      <c r="BA24" s="31"/>
      <c r="BB24" s="31"/>
    </row>
    <row r="25" spans="2:54" s="32" customFormat="1" ht="30" customHeight="1" outlineLevel="1" x14ac:dyDescent="0.35">
      <c r="B25" s="40" t="s">
        <v>680</v>
      </c>
      <c r="C25" s="49" t="s">
        <v>681</v>
      </c>
      <c r="D25" s="51" t="s">
        <v>5</v>
      </c>
      <c r="E25" s="51" t="s">
        <v>757</v>
      </c>
      <c r="F25" s="52">
        <f>VLOOKUP($B25,'Base dados'!$A:$K,10,0)</f>
        <v>0</v>
      </c>
      <c r="G25" s="52">
        <f>VLOOKUP($B25,'Base dados'!$A:$K,11,0)</f>
        <v>0</v>
      </c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4"/>
      <c r="BA25" s="31"/>
      <c r="BB25" s="31"/>
    </row>
    <row r="26" spans="2:54" s="32" customFormat="1" ht="30" customHeight="1" outlineLevel="1" x14ac:dyDescent="0.35">
      <c r="B26" s="40" t="s">
        <v>682</v>
      </c>
      <c r="C26" s="49" t="s">
        <v>683</v>
      </c>
      <c r="D26" s="51" t="s">
        <v>5</v>
      </c>
      <c r="E26" s="51" t="s">
        <v>757</v>
      </c>
      <c r="F26" s="52">
        <f>VLOOKUP($B26,'Base dados'!$A:$K,10,0)</f>
        <v>0</v>
      </c>
      <c r="G26" s="52">
        <f>VLOOKUP($B26,'Base dados'!$A:$K,11,0)</f>
        <v>0</v>
      </c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4"/>
      <c r="BA26" s="31"/>
      <c r="BB26" s="31"/>
    </row>
    <row r="27" spans="2:54" s="32" customFormat="1" ht="30" customHeight="1" outlineLevel="1" x14ac:dyDescent="0.35">
      <c r="B27" s="40" t="s">
        <v>684</v>
      </c>
      <c r="C27" s="49" t="s">
        <v>685</v>
      </c>
      <c r="D27" s="51" t="s">
        <v>5</v>
      </c>
      <c r="E27" s="51" t="s">
        <v>757</v>
      </c>
      <c r="F27" s="52">
        <f>VLOOKUP($B27,'Base dados'!$A:$K,10,0)</f>
        <v>0</v>
      </c>
      <c r="G27" s="52">
        <f>VLOOKUP($B27,'Base dados'!$A:$K,11,0)</f>
        <v>0</v>
      </c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4"/>
      <c r="BA27" s="31"/>
      <c r="BB27" s="31"/>
    </row>
    <row r="28" spans="2:54" s="32" customFormat="1" ht="30" customHeight="1" outlineLevel="1" x14ac:dyDescent="0.35">
      <c r="B28" s="40" t="s">
        <v>686</v>
      </c>
      <c r="C28" s="49" t="s">
        <v>687</v>
      </c>
      <c r="D28" s="51" t="s">
        <v>5</v>
      </c>
      <c r="E28" s="51" t="s">
        <v>757</v>
      </c>
      <c r="F28" s="52">
        <f>VLOOKUP($B28,'Base dados'!$A:$K,10,0)</f>
        <v>0</v>
      </c>
      <c r="G28" s="52">
        <f>VLOOKUP($B28,'Base dados'!$A:$K,11,0)</f>
        <v>0</v>
      </c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4"/>
      <c r="BA28" s="31"/>
      <c r="BB28" s="31"/>
    </row>
    <row r="29" spans="2:54" s="32" customFormat="1" ht="30" customHeight="1" outlineLevel="1" x14ac:dyDescent="0.35">
      <c r="B29" s="40" t="s">
        <v>688</v>
      </c>
      <c r="C29" s="49" t="s">
        <v>689</v>
      </c>
      <c r="D29" s="51" t="s">
        <v>5</v>
      </c>
      <c r="E29" s="51" t="s">
        <v>757</v>
      </c>
      <c r="F29" s="52">
        <f>VLOOKUP($B29,'Base dados'!$A:$K,10,0)</f>
        <v>0</v>
      </c>
      <c r="G29" s="52">
        <f>VLOOKUP($B29,'Base dados'!$A:$K,11,0)</f>
        <v>0</v>
      </c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4"/>
      <c r="BA29" s="31"/>
      <c r="BB29" s="31"/>
    </row>
    <row r="30" spans="2:54" s="32" customFormat="1" ht="30" customHeight="1" outlineLevel="1" x14ac:dyDescent="0.35">
      <c r="B30" s="40" t="s">
        <v>690</v>
      </c>
      <c r="C30" s="49" t="s">
        <v>691</v>
      </c>
      <c r="D30" s="51" t="s">
        <v>5</v>
      </c>
      <c r="E30" s="51" t="s">
        <v>757</v>
      </c>
      <c r="F30" s="52">
        <f>VLOOKUP($B30,'Base dados'!$A:$K,10,0)</f>
        <v>0</v>
      </c>
      <c r="G30" s="52">
        <f>VLOOKUP($B30,'Base dados'!$A:$K,11,0)</f>
        <v>0</v>
      </c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4"/>
      <c r="BA30" s="31"/>
      <c r="BB30" s="31"/>
    </row>
    <row r="31" spans="2:54" s="32" customFormat="1" ht="30" customHeight="1" outlineLevel="1" x14ac:dyDescent="0.35">
      <c r="B31" s="40" t="s">
        <v>56</v>
      </c>
      <c r="C31" s="49" t="s">
        <v>57</v>
      </c>
      <c r="D31" s="51" t="s">
        <v>445</v>
      </c>
      <c r="E31" s="51" t="s">
        <v>751</v>
      </c>
      <c r="F31" s="52" t="e">
        <f>VLOOKUP($B31,'Base dados'!$A:$K,10,0)</f>
        <v>#N/A</v>
      </c>
      <c r="G31" s="52" t="e">
        <f>VLOOKUP($B31,'Base dados'!$A:$K,11,0)</f>
        <v>#N/A</v>
      </c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4"/>
      <c r="BA31" s="31"/>
      <c r="BB31" s="31"/>
    </row>
    <row r="32" spans="2:54" s="32" customFormat="1" ht="30" customHeight="1" outlineLevel="1" x14ac:dyDescent="0.35">
      <c r="B32" s="40" t="s">
        <v>37</v>
      </c>
      <c r="C32" s="49" t="s">
        <v>38</v>
      </c>
      <c r="D32" s="51" t="s">
        <v>22</v>
      </c>
      <c r="E32" s="110" t="s">
        <v>752</v>
      </c>
      <c r="F32" s="112">
        <f>VLOOKUP($B32,'Base dados'!$A:$K,10,0)</f>
        <v>0</v>
      </c>
      <c r="G32" s="112">
        <f>VLOOKUP($B32,'Base dados'!$A:$K,11,0)</f>
        <v>0</v>
      </c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4"/>
      <c r="BA32" s="31"/>
      <c r="BB32" s="31"/>
    </row>
    <row r="33" spans="2:54" s="48" customFormat="1" ht="30" customHeight="1" outlineLevel="1" x14ac:dyDescent="0.25">
      <c r="B33" s="40" t="s">
        <v>35</v>
      </c>
      <c r="C33" s="49" t="s">
        <v>36</v>
      </c>
      <c r="D33" s="51" t="s">
        <v>22</v>
      </c>
      <c r="E33" s="110" t="s">
        <v>752</v>
      </c>
      <c r="F33" s="112">
        <f>VLOOKUP($B33,'Base dados'!$A:$K,10,0)</f>
        <v>0</v>
      </c>
      <c r="G33" s="112">
        <f>VLOOKUP($B33,'Base dados'!$A:$K,11,0)</f>
        <v>0</v>
      </c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4"/>
      <c r="BA33" s="31"/>
      <c r="BB33" s="31"/>
    </row>
    <row r="34" spans="2:54" s="32" customFormat="1" ht="30" customHeight="1" outlineLevel="1" x14ac:dyDescent="0.35">
      <c r="B34" s="40" t="s">
        <v>33</v>
      </c>
      <c r="C34" s="49" t="s">
        <v>34</v>
      </c>
      <c r="D34" s="51" t="s">
        <v>22</v>
      </c>
      <c r="E34" s="51" t="s">
        <v>752</v>
      </c>
      <c r="F34" s="52">
        <f>VLOOKUP($B34,'Base dados'!$A:$K,10,0)</f>
        <v>0</v>
      </c>
      <c r="G34" s="52">
        <f>VLOOKUP($B34,'Base dados'!$A:$K,11,0)</f>
        <v>0</v>
      </c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4"/>
      <c r="BA34" s="31"/>
      <c r="BB34" s="31"/>
    </row>
    <row r="35" spans="2:54" s="32" customFormat="1" ht="30" customHeight="1" outlineLevel="1" x14ac:dyDescent="0.35">
      <c r="B35" s="41" t="s">
        <v>31</v>
      </c>
      <c r="C35" s="49" t="s">
        <v>32</v>
      </c>
      <c r="D35" s="51" t="s">
        <v>22</v>
      </c>
      <c r="E35" s="51" t="s">
        <v>752</v>
      </c>
      <c r="F35" s="52">
        <f>VLOOKUP($B35,'Base dados'!$A:$K,10,0)</f>
        <v>0</v>
      </c>
      <c r="G35" s="52">
        <f>VLOOKUP($B35,'Base dados'!$A:$K,11,0)</f>
        <v>0</v>
      </c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4"/>
      <c r="BA35" s="31"/>
      <c r="BB35" s="31"/>
    </row>
    <row r="36" spans="2:54" s="32" customFormat="1" ht="30" customHeight="1" outlineLevel="1" x14ac:dyDescent="0.35">
      <c r="B36" s="41" t="s">
        <v>29</v>
      </c>
      <c r="C36" s="49" t="s">
        <v>30</v>
      </c>
      <c r="D36" s="51" t="s">
        <v>445</v>
      </c>
      <c r="E36" s="51" t="s">
        <v>752</v>
      </c>
      <c r="F36" s="52">
        <f>VLOOKUP($B36,'Base dados'!$A:$K,10,0)</f>
        <v>0</v>
      </c>
      <c r="G36" s="52">
        <f>VLOOKUP($B36,'Base dados'!$A:$K,11,0)</f>
        <v>0</v>
      </c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4"/>
      <c r="BA36" s="31"/>
      <c r="BB36" s="31"/>
    </row>
    <row r="37" spans="2:54" s="32" customFormat="1" ht="30" customHeight="1" outlineLevel="1" x14ac:dyDescent="0.35">
      <c r="B37" s="41" t="s">
        <v>14</v>
      </c>
      <c r="C37" s="49" t="s">
        <v>15</v>
      </c>
      <c r="D37" s="51" t="s">
        <v>22</v>
      </c>
      <c r="E37" s="51" t="s">
        <v>752</v>
      </c>
      <c r="F37" s="52">
        <f>VLOOKUP($B37,'Base dados'!$A:$K,10,0)</f>
        <v>0</v>
      </c>
      <c r="G37" s="52">
        <f>VLOOKUP($B37,'Base dados'!$A:$K,11,0)</f>
        <v>0</v>
      </c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4"/>
      <c r="BA37" s="31"/>
      <c r="BB37" s="31"/>
    </row>
    <row r="38" spans="2:54" s="32" customFormat="1" ht="30" customHeight="1" outlineLevel="1" x14ac:dyDescent="0.35">
      <c r="B38" s="40" t="s">
        <v>279</v>
      </c>
      <c r="C38" s="49" t="s">
        <v>280</v>
      </c>
      <c r="D38" s="51" t="s">
        <v>22</v>
      </c>
      <c r="E38" s="51" t="s">
        <v>752</v>
      </c>
      <c r="F38" s="52">
        <f>VLOOKUP($B38,'Base dados'!$A:$K,10,0)</f>
        <v>0</v>
      </c>
      <c r="G38" s="52">
        <f>VLOOKUP($B38,'Base dados'!$A:$K,11,0)</f>
        <v>0</v>
      </c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4"/>
      <c r="BA38" s="31"/>
      <c r="BB38" s="31"/>
    </row>
    <row r="39" spans="2:54" s="32" customFormat="1" ht="30" customHeight="1" outlineLevel="1" x14ac:dyDescent="0.35">
      <c r="B39" s="40" t="s">
        <v>369</v>
      </c>
      <c r="C39" s="49" t="s">
        <v>370</v>
      </c>
      <c r="D39" s="51" t="s">
        <v>22</v>
      </c>
      <c r="E39" s="51" t="s">
        <v>752</v>
      </c>
      <c r="F39" s="52" t="e">
        <f>VLOOKUP($B39,'Base dados'!$A:$K,10,0)</f>
        <v>#N/A</v>
      </c>
      <c r="G39" s="52" t="e">
        <f>VLOOKUP($B39,'Base dados'!$A:$K,11,0)</f>
        <v>#N/A</v>
      </c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4"/>
      <c r="BA39" s="31"/>
      <c r="BB39" s="31"/>
    </row>
    <row r="40" spans="2:54" s="32" customFormat="1" ht="30" customHeight="1" outlineLevel="1" x14ac:dyDescent="0.35">
      <c r="B40" s="40" t="s">
        <v>472</v>
      </c>
      <c r="C40" s="49" t="s">
        <v>473</v>
      </c>
      <c r="D40" s="51" t="s">
        <v>22</v>
      </c>
      <c r="E40" s="51" t="s">
        <v>752</v>
      </c>
      <c r="F40" s="52">
        <v>46034</v>
      </c>
      <c r="G40" s="52">
        <v>46113</v>
      </c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4"/>
      <c r="BA40" s="31"/>
      <c r="BB40" s="31"/>
    </row>
    <row r="41" spans="2:54" s="32" customFormat="1" ht="30" customHeight="1" outlineLevel="1" x14ac:dyDescent="0.35">
      <c r="B41" s="40" t="s">
        <v>470</v>
      </c>
      <c r="C41" s="49" t="s">
        <v>471</v>
      </c>
      <c r="D41" s="51" t="s">
        <v>22</v>
      </c>
      <c r="E41" s="51" t="s">
        <v>752</v>
      </c>
      <c r="F41" s="52">
        <f>VLOOKUP($B41,'Base dados'!$A:$K,10,0)</f>
        <v>0</v>
      </c>
      <c r="G41" s="52">
        <f>VLOOKUP($B41,'Base dados'!$A:$K,11,0)</f>
        <v>0</v>
      </c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4"/>
      <c r="BA41" s="31"/>
      <c r="BB41" s="31"/>
    </row>
    <row r="42" spans="2:54" s="32" customFormat="1" ht="30" customHeight="1" outlineLevel="1" x14ac:dyDescent="0.35">
      <c r="B42" s="40" t="s">
        <v>468</v>
      </c>
      <c r="C42" s="49" t="s">
        <v>469</v>
      </c>
      <c r="D42" s="51" t="s">
        <v>22</v>
      </c>
      <c r="E42" s="51" t="s">
        <v>752</v>
      </c>
      <c r="F42" s="52" t="e">
        <f>VLOOKUP($B42,'Base dados'!$A:$K,10,0)</f>
        <v>#N/A</v>
      </c>
      <c r="G42" s="52" t="e">
        <f>VLOOKUP($B42,'Base dados'!$A:$K,11,0)</f>
        <v>#N/A</v>
      </c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4"/>
      <c r="BA42" s="31"/>
      <c r="BB42" s="31"/>
    </row>
    <row r="43" spans="2:54" s="32" customFormat="1" ht="30" customHeight="1" outlineLevel="1" x14ac:dyDescent="0.35">
      <c r="B43" s="40" t="s">
        <v>466</v>
      </c>
      <c r="C43" s="49" t="s">
        <v>467</v>
      </c>
      <c r="D43" s="51" t="s">
        <v>22</v>
      </c>
      <c r="E43" s="51" t="s">
        <v>752</v>
      </c>
      <c r="F43" s="52">
        <f>VLOOKUP($B43,'Base dados'!$A:$K,10,0)</f>
        <v>0</v>
      </c>
      <c r="G43" s="52">
        <f>VLOOKUP($B43,'Base dados'!$A:$K,11,0)</f>
        <v>0</v>
      </c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4"/>
      <c r="BA43" s="31"/>
      <c r="BB43" s="31"/>
    </row>
    <row r="44" spans="2:54" s="32" customFormat="1" ht="30" customHeight="1" outlineLevel="1" x14ac:dyDescent="0.35">
      <c r="B44" s="40" t="s">
        <v>535</v>
      </c>
      <c r="C44" s="49" t="s">
        <v>536</v>
      </c>
      <c r="D44" s="51" t="s">
        <v>22</v>
      </c>
      <c r="E44" s="51" t="s">
        <v>752</v>
      </c>
      <c r="F44" s="52">
        <f>VLOOKUP($B44,'Base dados'!$A:$K,10,0)</f>
        <v>0</v>
      </c>
      <c r="G44" s="52">
        <f>VLOOKUP($B44,'Base dados'!$A:$K,11,0)</f>
        <v>0</v>
      </c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4"/>
      <c r="BA44" s="31"/>
      <c r="BB44" s="31"/>
    </row>
    <row r="45" spans="2:54" s="32" customFormat="1" ht="30" customHeight="1" outlineLevel="1" x14ac:dyDescent="0.35">
      <c r="B45" s="40" t="s">
        <v>539</v>
      </c>
      <c r="C45" s="49" t="s">
        <v>540</v>
      </c>
      <c r="D45" s="51" t="s">
        <v>13</v>
      </c>
      <c r="E45" s="51" t="s">
        <v>753</v>
      </c>
      <c r="F45" s="52">
        <f>VLOOKUP($B45,'Base dados'!$A:$K,10,0)</f>
        <v>0</v>
      </c>
      <c r="G45" s="52">
        <f>VLOOKUP($B45,'Base dados'!$A:$K,11,0)</f>
        <v>0</v>
      </c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4"/>
      <c r="BA45" s="31"/>
      <c r="BB45" s="31"/>
    </row>
    <row r="46" spans="2:54" s="32" customFormat="1" ht="30" customHeight="1" outlineLevel="1" x14ac:dyDescent="0.35">
      <c r="B46" s="40" t="s">
        <v>543</v>
      </c>
      <c r="C46" s="49" t="s">
        <v>544</v>
      </c>
      <c r="D46" s="51" t="s">
        <v>22</v>
      </c>
      <c r="E46" s="51" t="s">
        <v>752</v>
      </c>
      <c r="F46" s="52">
        <f>VLOOKUP($B46,'Base dados'!$A:$K,10,0)</f>
        <v>0</v>
      </c>
      <c r="G46" s="52">
        <f>VLOOKUP($B46,'Base dados'!$A:$K,11,0)</f>
        <v>0</v>
      </c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4"/>
      <c r="BA46" s="31"/>
      <c r="BB46" s="31"/>
    </row>
    <row r="47" spans="2:54" s="32" customFormat="1" ht="30" customHeight="1" outlineLevel="1" x14ac:dyDescent="0.35">
      <c r="B47" s="40" t="s">
        <v>547</v>
      </c>
      <c r="C47" s="49" t="s">
        <v>548</v>
      </c>
      <c r="D47" s="51" t="s">
        <v>13</v>
      </c>
      <c r="E47" s="51" t="s">
        <v>752</v>
      </c>
      <c r="F47" s="52">
        <f>VLOOKUP($B47,'Base dados'!$A:$K,10,0)</f>
        <v>0</v>
      </c>
      <c r="G47" s="52">
        <f>VLOOKUP($B47,'Base dados'!$A:$K,11,0)</f>
        <v>0</v>
      </c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4"/>
      <c r="BA47" s="31"/>
      <c r="BB47" s="31"/>
    </row>
    <row r="48" spans="2:54" s="32" customFormat="1" ht="30" customHeight="1" outlineLevel="1" thickBot="1" x14ac:dyDescent="0.4">
      <c r="B48" s="40" t="s">
        <v>551</v>
      </c>
      <c r="C48" s="49" t="s">
        <v>552</v>
      </c>
      <c r="D48" s="51" t="s">
        <v>523</v>
      </c>
      <c r="E48" s="51" t="s">
        <v>753</v>
      </c>
      <c r="F48" s="52">
        <f>VLOOKUP($B48,'Base dados'!$A:$K,10,0)</f>
        <v>0</v>
      </c>
      <c r="G48" s="52">
        <f>VLOOKUP($B48,'Base dados'!$A:$K,11,0)</f>
        <v>0</v>
      </c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4"/>
      <c r="BA48" s="31"/>
      <c r="BB48" s="31"/>
    </row>
    <row r="49" spans="2:54" s="48" customFormat="1" ht="30" customHeight="1" outlineLevel="1" thickBot="1" x14ac:dyDescent="0.3">
      <c r="B49" s="107" t="s">
        <v>553</v>
      </c>
      <c r="C49" s="108" t="s">
        <v>554</v>
      </c>
      <c r="D49" s="109" t="s">
        <v>523</v>
      </c>
      <c r="E49" s="109" t="s">
        <v>755</v>
      </c>
      <c r="F49" s="111">
        <f>VLOOKUP($B49,'Base dados'!$A:$K,10,0)</f>
        <v>0</v>
      </c>
      <c r="G49" s="111">
        <f>VLOOKUP($B49,'Base dados'!$A:$K,11,0)</f>
        <v>0</v>
      </c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  <c r="AM49" s="113"/>
      <c r="AN49" s="113"/>
      <c r="AO49" s="113"/>
      <c r="AP49" s="113"/>
      <c r="AQ49" s="113"/>
      <c r="AR49" s="113"/>
      <c r="AS49" s="113"/>
      <c r="AT49" s="113"/>
      <c r="AU49" s="113"/>
      <c r="AV49" s="113"/>
      <c r="AW49" s="113"/>
      <c r="AX49" s="113"/>
      <c r="AY49" s="113"/>
      <c r="AZ49" s="114"/>
      <c r="BA49" s="31"/>
      <c r="BB49" s="31"/>
    </row>
    <row r="50" spans="2:54" s="32" customFormat="1" ht="30" customHeight="1" outlineLevel="1" x14ac:dyDescent="0.35">
      <c r="B50" s="40" t="s">
        <v>557</v>
      </c>
      <c r="C50" s="49" t="s">
        <v>558</v>
      </c>
      <c r="D50" s="51" t="s">
        <v>13</v>
      </c>
      <c r="E50" s="51" t="s">
        <v>752</v>
      </c>
      <c r="F50" s="52">
        <f>VLOOKUP($B50,'Base dados'!$A:$K,10,0)</f>
        <v>0</v>
      </c>
      <c r="G50" s="52">
        <f>VLOOKUP($B50,'Base dados'!$A:$K,11,0)</f>
        <v>0</v>
      </c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4"/>
      <c r="BA50" s="31"/>
      <c r="BB50" s="31"/>
    </row>
    <row r="51" spans="2:54" s="32" customFormat="1" ht="30" customHeight="1" outlineLevel="1" x14ac:dyDescent="0.35">
      <c r="B51" s="40" t="s">
        <v>559</v>
      </c>
      <c r="C51" s="49" t="s">
        <v>560</v>
      </c>
      <c r="D51" s="51" t="s">
        <v>523</v>
      </c>
      <c r="E51" s="51" t="s">
        <v>753</v>
      </c>
      <c r="F51" s="52">
        <f>VLOOKUP($B51,'Base dados'!$A:$K,10,0)</f>
        <v>0</v>
      </c>
      <c r="G51" s="52">
        <f>VLOOKUP($B51,'Base dados'!$A:$K,11,0)</f>
        <v>0</v>
      </c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4"/>
      <c r="BA51" s="31"/>
      <c r="BB51" s="31"/>
    </row>
    <row r="52" spans="2:54" s="32" customFormat="1" ht="30" customHeight="1" outlineLevel="1" thickBot="1" x14ac:dyDescent="0.4">
      <c r="B52" s="40" t="s">
        <v>593</v>
      </c>
      <c r="C52" s="49" t="s">
        <v>594</v>
      </c>
      <c r="D52" s="51" t="s">
        <v>271</v>
      </c>
      <c r="E52" s="51" t="s">
        <v>753</v>
      </c>
      <c r="F52" s="52">
        <f>VLOOKUP($B52,'Base dados'!$A:$K,10,0)</f>
        <v>0</v>
      </c>
      <c r="G52" s="52">
        <f>VLOOKUP($B52,'Base dados'!$A:$K,11,0)</f>
        <v>0</v>
      </c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4"/>
      <c r="BA52" s="31"/>
      <c r="BB52" s="31"/>
    </row>
    <row r="53" spans="2:54" s="48" customFormat="1" ht="30" customHeight="1" outlineLevel="1" thickBot="1" x14ac:dyDescent="0.3">
      <c r="B53" s="107" t="s">
        <v>599</v>
      </c>
      <c r="C53" s="108" t="s">
        <v>600</v>
      </c>
      <c r="D53" s="109" t="s">
        <v>489</v>
      </c>
      <c r="E53" s="109" t="s">
        <v>752</v>
      </c>
      <c r="F53" s="111">
        <f>VLOOKUP($B53,'Base dados'!$A:$K,10,0)</f>
        <v>0</v>
      </c>
      <c r="G53" s="111">
        <f>VLOOKUP($B53,'Base dados'!$A:$K,11,0)</f>
        <v>0</v>
      </c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  <c r="AM53" s="113"/>
      <c r="AN53" s="113"/>
      <c r="AO53" s="113"/>
      <c r="AP53" s="113"/>
      <c r="AQ53" s="113"/>
      <c r="AR53" s="113"/>
      <c r="AS53" s="113"/>
      <c r="AT53" s="113"/>
      <c r="AU53" s="113"/>
      <c r="AV53" s="113"/>
      <c r="AW53" s="113"/>
      <c r="AX53" s="113"/>
      <c r="AY53" s="113"/>
      <c r="AZ53" s="114"/>
      <c r="BA53" s="31"/>
      <c r="BB53" s="31"/>
    </row>
    <row r="54" spans="2:54" s="32" customFormat="1" ht="30" customHeight="1" outlineLevel="1" x14ac:dyDescent="0.35">
      <c r="B54" s="40" t="s">
        <v>601</v>
      </c>
      <c r="C54" s="49" t="s">
        <v>602</v>
      </c>
      <c r="D54" s="51" t="s">
        <v>271</v>
      </c>
      <c r="E54" s="51" t="s">
        <v>754</v>
      </c>
      <c r="F54" s="52">
        <f>VLOOKUP($B54,'Base dados'!$A:$K,10,0)</f>
        <v>0</v>
      </c>
      <c r="G54" s="52">
        <f>VLOOKUP($B54,'Base dados'!$A:$K,11,0)</f>
        <v>0</v>
      </c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4"/>
      <c r="BA54" s="31"/>
      <c r="BB54" s="31"/>
    </row>
    <row r="55" spans="2:54" s="32" customFormat="1" ht="30" customHeight="1" outlineLevel="1" x14ac:dyDescent="0.35">
      <c r="B55" s="40" t="s">
        <v>603</v>
      </c>
      <c r="C55" s="49" t="s">
        <v>604</v>
      </c>
      <c r="D55" s="51" t="s">
        <v>271</v>
      </c>
      <c r="E55" s="51" t="s">
        <v>754</v>
      </c>
      <c r="F55" s="52">
        <f>VLOOKUP($B55,'Base dados'!$A:$K,10,0)</f>
        <v>0</v>
      </c>
      <c r="G55" s="52">
        <f>VLOOKUP($B55,'Base dados'!$A:$K,11,0)</f>
        <v>0</v>
      </c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4"/>
      <c r="BA55" s="31"/>
      <c r="BB55" s="31"/>
    </row>
    <row r="56" spans="2:54" s="32" customFormat="1" ht="30" customHeight="1" outlineLevel="1" x14ac:dyDescent="0.35">
      <c r="B56" s="40" t="s">
        <v>605</v>
      </c>
      <c r="C56" s="49" t="s">
        <v>606</v>
      </c>
      <c r="D56" s="51" t="s">
        <v>271</v>
      </c>
      <c r="E56" s="51" t="s">
        <v>754</v>
      </c>
      <c r="F56" s="52">
        <f>VLOOKUP($B56,'Base dados'!$A:$K,10,0)</f>
        <v>0</v>
      </c>
      <c r="G56" s="52">
        <f>VLOOKUP($B56,'Base dados'!$A:$K,11,0)</f>
        <v>0</v>
      </c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4"/>
      <c r="BA56" s="31"/>
      <c r="BB56" s="31"/>
    </row>
    <row r="57" spans="2:54" s="32" customFormat="1" ht="30" customHeight="1" outlineLevel="1" x14ac:dyDescent="0.35">
      <c r="B57" s="40" t="s">
        <v>607</v>
      </c>
      <c r="C57" s="49" t="s">
        <v>608</v>
      </c>
      <c r="D57" s="51" t="s">
        <v>271</v>
      </c>
      <c r="E57" s="51" t="s">
        <v>753</v>
      </c>
      <c r="F57" s="52">
        <f>VLOOKUP($B57,'Base dados'!$A:$K,10,0)</f>
        <v>0</v>
      </c>
      <c r="G57" s="52">
        <f>VLOOKUP($B57,'Base dados'!$A:$K,11,0)</f>
        <v>0</v>
      </c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4"/>
      <c r="BA57" s="31"/>
      <c r="BB57" s="31"/>
    </row>
    <row r="58" spans="2:54" s="32" customFormat="1" ht="30" customHeight="1" outlineLevel="1" x14ac:dyDescent="0.35">
      <c r="B58" s="40" t="s">
        <v>609</v>
      </c>
      <c r="C58" s="49" t="s">
        <v>610</v>
      </c>
      <c r="D58" s="51" t="s">
        <v>271</v>
      </c>
      <c r="E58" s="51" t="s">
        <v>753</v>
      </c>
      <c r="F58" s="52">
        <f>VLOOKUP($B58,'Base dados'!$A:$K,10,0)</f>
        <v>0</v>
      </c>
      <c r="G58" s="52">
        <f>VLOOKUP($B58,'Base dados'!$A:$K,11,0)</f>
        <v>0</v>
      </c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4"/>
      <c r="BA58" s="31"/>
      <c r="BB58" s="31"/>
    </row>
    <row r="59" spans="2:54" s="32" customFormat="1" ht="30" customHeight="1" outlineLevel="1" x14ac:dyDescent="0.35">
      <c r="B59" s="40" t="s">
        <v>611</v>
      </c>
      <c r="C59" s="49" t="s">
        <v>612</v>
      </c>
      <c r="D59" s="51" t="s">
        <v>271</v>
      </c>
      <c r="E59" s="51" t="s">
        <v>753</v>
      </c>
      <c r="F59" s="52">
        <f>VLOOKUP($B59,'Base dados'!$A:$K,10,0)</f>
        <v>0</v>
      </c>
      <c r="G59" s="52">
        <f>VLOOKUP($B59,'Base dados'!$A:$K,11,0)</f>
        <v>0</v>
      </c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4"/>
      <c r="BA59" s="31"/>
      <c r="BB59" s="31"/>
    </row>
    <row r="60" spans="2:54" s="32" customFormat="1" ht="30" customHeight="1" outlineLevel="1" x14ac:dyDescent="0.35">
      <c r="B60" s="40" t="s">
        <v>613</v>
      </c>
      <c r="C60" s="49" t="s">
        <v>614</v>
      </c>
      <c r="D60" s="51" t="s">
        <v>22</v>
      </c>
      <c r="E60" s="51" t="s">
        <v>752</v>
      </c>
      <c r="F60" s="52">
        <f>VLOOKUP($B60,'Base dados'!$A:$K,10,0)</f>
        <v>0</v>
      </c>
      <c r="G60" s="52">
        <f>VLOOKUP($B60,'Base dados'!$A:$K,11,0)</f>
        <v>0</v>
      </c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4"/>
      <c r="BA60" s="31"/>
      <c r="BB60" s="31"/>
    </row>
    <row r="61" spans="2:54" s="32" customFormat="1" ht="30" customHeight="1" outlineLevel="1" thickBot="1" x14ac:dyDescent="0.4">
      <c r="B61" s="40" t="s">
        <v>625</v>
      </c>
      <c r="C61" s="49" t="s">
        <v>626</v>
      </c>
      <c r="D61" s="51" t="s">
        <v>13</v>
      </c>
      <c r="E61" s="51" t="s">
        <v>752</v>
      </c>
      <c r="F61" s="52">
        <f>VLOOKUP($B61,'Base dados'!$A:$K,10,0)</f>
        <v>0</v>
      </c>
      <c r="G61" s="52">
        <f>VLOOKUP($B61,'Base dados'!$A:$K,11,0)</f>
        <v>0</v>
      </c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4"/>
      <c r="BA61" s="31"/>
      <c r="BB61" s="31"/>
    </row>
    <row r="62" spans="2:54" s="48" customFormat="1" ht="30" customHeight="1" outlineLevel="1" thickBot="1" x14ac:dyDescent="0.3">
      <c r="B62" s="107" t="s">
        <v>634</v>
      </c>
      <c r="C62" s="108" t="s">
        <v>635</v>
      </c>
      <c r="D62" s="109" t="s">
        <v>523</v>
      </c>
      <c r="E62" s="109" t="s">
        <v>752</v>
      </c>
      <c r="F62" s="111" t="e">
        <f>VLOOKUP($B62,'Base dados'!$A:$K,10,0)</f>
        <v>#N/A</v>
      </c>
      <c r="G62" s="111" t="e">
        <f>VLOOKUP($B62,'Base dados'!$A:$K,11,0)</f>
        <v>#N/A</v>
      </c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  <c r="AM62" s="113"/>
      <c r="AN62" s="113"/>
      <c r="AO62" s="113"/>
      <c r="AP62" s="113"/>
      <c r="AQ62" s="113"/>
      <c r="AR62" s="113"/>
      <c r="AS62" s="113"/>
      <c r="AT62" s="113"/>
      <c r="AU62" s="113"/>
      <c r="AV62" s="113"/>
      <c r="AW62" s="113"/>
      <c r="AX62" s="113"/>
      <c r="AY62" s="113"/>
      <c r="AZ62" s="114"/>
      <c r="BA62" s="31"/>
      <c r="BB62" s="31"/>
    </row>
    <row r="63" spans="2:54" s="32" customFormat="1" ht="30" customHeight="1" outlineLevel="1" x14ac:dyDescent="0.35">
      <c r="B63" s="40" t="s">
        <v>636</v>
      </c>
      <c r="C63" s="49" t="s">
        <v>637</v>
      </c>
      <c r="D63" s="51" t="s">
        <v>271</v>
      </c>
      <c r="E63" s="51" t="s">
        <v>752</v>
      </c>
      <c r="F63" s="52" t="e">
        <f>VLOOKUP($B63,'Base dados'!$A:$K,10,0)</f>
        <v>#N/A</v>
      </c>
      <c r="G63" s="52" t="e">
        <f>VLOOKUP($B63,'Base dados'!$A:$K,11,0)</f>
        <v>#N/A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4"/>
      <c r="BA63" s="31"/>
      <c r="BB63" s="31"/>
    </row>
    <row r="64" spans="2:54" s="32" customFormat="1" ht="30" customHeight="1" outlineLevel="1" x14ac:dyDescent="0.35">
      <c r="B64" s="40" t="s">
        <v>638</v>
      </c>
      <c r="C64" s="49" t="s">
        <v>639</v>
      </c>
      <c r="D64" s="51" t="s">
        <v>523</v>
      </c>
      <c r="E64" s="51" t="s">
        <v>752</v>
      </c>
      <c r="F64" s="52" t="e">
        <f>VLOOKUP($B64,'Base dados'!$A:$K,10,0)</f>
        <v>#N/A</v>
      </c>
      <c r="G64" s="52" t="e">
        <f>VLOOKUP($B64,'Base dados'!$A:$K,11,0)</f>
        <v>#N/A</v>
      </c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4"/>
      <c r="BA64" s="31"/>
      <c r="BB64" s="31"/>
    </row>
    <row r="65" spans="2:54" s="32" customFormat="1" ht="30" customHeight="1" outlineLevel="1" x14ac:dyDescent="0.35">
      <c r="B65" s="40" t="s">
        <v>640</v>
      </c>
      <c r="C65" s="49" t="s">
        <v>641</v>
      </c>
      <c r="D65" s="51" t="s">
        <v>523</v>
      </c>
      <c r="E65" s="51" t="s">
        <v>752</v>
      </c>
      <c r="F65" s="52" t="e">
        <f>VLOOKUP($B65,'Base dados'!$A:$K,10,0)</f>
        <v>#N/A</v>
      </c>
      <c r="G65" s="52" t="e">
        <f>VLOOKUP($B65,'Base dados'!$A:$K,11,0)</f>
        <v>#N/A</v>
      </c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4"/>
      <c r="BA65" s="31"/>
      <c r="BB65" s="31"/>
    </row>
    <row r="66" spans="2:54" s="32" customFormat="1" ht="30" customHeight="1" outlineLevel="1" x14ac:dyDescent="0.35">
      <c r="B66" s="40" t="s">
        <v>642</v>
      </c>
      <c r="C66" s="49" t="s">
        <v>643</v>
      </c>
      <c r="D66" s="51" t="s">
        <v>271</v>
      </c>
      <c r="E66" s="51" t="s">
        <v>752</v>
      </c>
      <c r="F66" s="52" t="e">
        <f>VLOOKUP($B66,'Base dados'!$A:$K,10,0)</f>
        <v>#N/A</v>
      </c>
      <c r="G66" s="52" t="e">
        <f>VLOOKUP($B66,'Base dados'!$A:$K,11,0)</f>
        <v>#N/A</v>
      </c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4"/>
      <c r="BA66" s="31"/>
      <c r="BB66" s="31"/>
    </row>
    <row r="67" spans="2:54" s="32" customFormat="1" ht="30" customHeight="1" outlineLevel="1" x14ac:dyDescent="0.35">
      <c r="B67" s="40" t="s">
        <v>644</v>
      </c>
      <c r="C67" s="49" t="s">
        <v>645</v>
      </c>
      <c r="D67" s="51" t="s">
        <v>13</v>
      </c>
      <c r="E67" s="51" t="s">
        <v>755</v>
      </c>
      <c r="F67" s="52">
        <f>VLOOKUP($B67,'Base dados'!$A:$K,10,0)</f>
        <v>0</v>
      </c>
      <c r="G67" s="52">
        <f>VLOOKUP($B67,'Base dados'!$A:$K,11,0)</f>
        <v>0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4"/>
      <c r="BA67" s="31"/>
      <c r="BB67" s="31"/>
    </row>
    <row r="68" spans="2:54" s="32" customFormat="1" ht="30" customHeight="1" outlineLevel="1" x14ac:dyDescent="0.35">
      <c r="B68" s="40" t="s">
        <v>648</v>
      </c>
      <c r="C68" s="49" t="s">
        <v>649</v>
      </c>
      <c r="D68" s="51" t="s">
        <v>523</v>
      </c>
      <c r="E68" s="51" t="s">
        <v>753</v>
      </c>
      <c r="F68" s="52">
        <f>VLOOKUP($B68,'Base dados'!$A:$K,10,0)</f>
        <v>0</v>
      </c>
      <c r="G68" s="52">
        <f>VLOOKUP($B68,'Base dados'!$A:$K,11,0)</f>
        <v>0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4"/>
      <c r="BA68" s="31"/>
      <c r="BB68" s="31"/>
    </row>
    <row r="69" spans="2:54" s="32" customFormat="1" ht="30" customHeight="1" outlineLevel="1" x14ac:dyDescent="0.35">
      <c r="B69" s="40" t="s">
        <v>650</v>
      </c>
      <c r="C69" s="49" t="s">
        <v>651</v>
      </c>
      <c r="D69" s="51" t="s">
        <v>13</v>
      </c>
      <c r="E69" s="51" t="s">
        <v>753</v>
      </c>
      <c r="F69" s="52">
        <f>VLOOKUP($B69,'Base dados'!$A:$K,10,0)</f>
        <v>0</v>
      </c>
      <c r="G69" s="52">
        <f>VLOOKUP($B69,'Base dados'!$A:$K,11,0)</f>
        <v>0</v>
      </c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4"/>
      <c r="BA69" s="31"/>
      <c r="BB69" s="31"/>
    </row>
    <row r="70" spans="2:54" s="32" customFormat="1" ht="30" customHeight="1" outlineLevel="1" x14ac:dyDescent="0.35">
      <c r="B70" s="40" t="s">
        <v>652</v>
      </c>
      <c r="C70" s="49" t="s">
        <v>653</v>
      </c>
      <c r="D70" s="51" t="s">
        <v>13</v>
      </c>
      <c r="E70" s="51" t="s">
        <v>752</v>
      </c>
      <c r="F70" s="52">
        <f>VLOOKUP($B70,'Base dados'!$A:$K,10,0)</f>
        <v>0</v>
      </c>
      <c r="G70" s="52">
        <f>VLOOKUP($B70,'Base dados'!$A:$K,11,0)</f>
        <v>0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4"/>
      <c r="BA70" s="31"/>
      <c r="BB70" s="31"/>
    </row>
    <row r="71" spans="2:54" s="32" customFormat="1" ht="30" customHeight="1" outlineLevel="1" x14ac:dyDescent="0.35">
      <c r="B71" s="40" t="s">
        <v>654</v>
      </c>
      <c r="C71" s="49" t="s">
        <v>655</v>
      </c>
      <c r="D71" s="51" t="s">
        <v>271</v>
      </c>
      <c r="E71" s="51" t="s">
        <v>752</v>
      </c>
      <c r="F71" s="52">
        <f>VLOOKUP($B71,'Base dados'!$A:$K,10,0)</f>
        <v>0</v>
      </c>
      <c r="G71" s="52">
        <f>VLOOKUP($B71,'Base dados'!$A:$K,11,0)</f>
        <v>0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4"/>
      <c r="BA71" s="31"/>
      <c r="BB71" s="31"/>
    </row>
    <row r="72" spans="2:54" s="32" customFormat="1" ht="30" customHeight="1" outlineLevel="1" x14ac:dyDescent="0.35">
      <c r="B72" s="40" t="s">
        <v>660</v>
      </c>
      <c r="C72" s="49" t="s">
        <v>661</v>
      </c>
      <c r="D72" s="51" t="s">
        <v>523</v>
      </c>
      <c r="E72" s="51" t="s">
        <v>753</v>
      </c>
      <c r="F72" s="52">
        <f>VLOOKUP($B72,'Base dados'!$A:$K,10,0)</f>
        <v>0</v>
      </c>
      <c r="G72" s="52">
        <f>VLOOKUP($B72,'Base dados'!$A:$K,11,0)</f>
        <v>0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4"/>
      <c r="BA72" s="31"/>
      <c r="BB72" s="31"/>
    </row>
    <row r="73" spans="2:54" s="32" customFormat="1" ht="30" customHeight="1" outlineLevel="1" x14ac:dyDescent="0.35">
      <c r="B73" s="40" t="s">
        <v>666</v>
      </c>
      <c r="C73" s="49" t="s">
        <v>667</v>
      </c>
      <c r="D73" s="51" t="s">
        <v>271</v>
      </c>
      <c r="E73" s="51" t="s">
        <v>753</v>
      </c>
      <c r="F73" s="52">
        <f>VLOOKUP($B73,'Base dados'!$A:$K,10,0)</f>
        <v>0</v>
      </c>
      <c r="G73" s="52">
        <f>VLOOKUP($B73,'Base dados'!$A:$K,11,0)</f>
        <v>0</v>
      </c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4"/>
      <c r="BA73" s="31"/>
      <c r="BB73" s="31"/>
    </row>
    <row r="74" spans="2:54" s="32" customFormat="1" ht="30" customHeight="1" outlineLevel="1" x14ac:dyDescent="0.35">
      <c r="B74" s="40" t="s">
        <v>668</v>
      </c>
      <c r="C74" s="49" t="s">
        <v>669</v>
      </c>
      <c r="D74" s="51" t="s">
        <v>523</v>
      </c>
      <c r="E74" s="51" t="s">
        <v>752</v>
      </c>
      <c r="F74" s="52">
        <f>VLOOKUP($B74,'Base dados'!$A:$K,10,0)</f>
        <v>0</v>
      </c>
      <c r="G74" s="52">
        <f>VLOOKUP($B74,'Base dados'!$A:$K,11,0)</f>
        <v>0</v>
      </c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4"/>
      <c r="BA74" s="31"/>
      <c r="BB74" s="31"/>
    </row>
    <row r="75" spans="2:54" s="32" customFormat="1" ht="30" customHeight="1" outlineLevel="1" x14ac:dyDescent="0.35">
      <c r="B75" s="40" t="s">
        <v>674</v>
      </c>
      <c r="C75" s="49" t="s">
        <v>675</v>
      </c>
      <c r="D75" s="51" t="s">
        <v>523</v>
      </c>
      <c r="E75" s="51" t="s">
        <v>753</v>
      </c>
      <c r="F75" s="52">
        <f>VLOOKUP($B75,'Base dados'!$A:$K,10,0)</f>
        <v>0</v>
      </c>
      <c r="G75" s="52">
        <f>VLOOKUP($B75,'Base dados'!$A:$K,11,0)</f>
        <v>0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4"/>
      <c r="BA75" s="31"/>
      <c r="BB75" s="31"/>
    </row>
    <row r="76" spans="2:54" s="32" customFormat="1" ht="30" customHeight="1" outlineLevel="1" x14ac:dyDescent="0.35">
      <c r="B76" s="40" t="s">
        <v>676</v>
      </c>
      <c r="C76" s="49" t="s">
        <v>677</v>
      </c>
      <c r="D76" s="51" t="s">
        <v>523</v>
      </c>
      <c r="E76" s="51" t="s">
        <v>753</v>
      </c>
      <c r="F76" s="52">
        <f>VLOOKUP($B76,'Base dados'!$A:$K,10,0)</f>
        <v>0</v>
      </c>
      <c r="G76" s="52">
        <f>VLOOKUP($B76,'Base dados'!$A:$K,11,0)</f>
        <v>0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4"/>
      <c r="BA76" s="31"/>
      <c r="BB76" s="31"/>
    </row>
    <row r="77" spans="2:54" s="32" customFormat="1" ht="30" customHeight="1" outlineLevel="1" x14ac:dyDescent="0.35">
      <c r="B77" s="40" t="s">
        <v>75</v>
      </c>
      <c r="C77" s="49" t="s">
        <v>76</v>
      </c>
      <c r="D77" s="51" t="s">
        <v>445</v>
      </c>
      <c r="E77" s="51" t="s">
        <v>533</v>
      </c>
      <c r="F77" s="52" t="e">
        <f>VLOOKUP($B77,'Base dados'!$A:$K,10,0)</f>
        <v>#N/A</v>
      </c>
      <c r="G77" s="52" t="e">
        <f>VLOOKUP($B77,'Base dados'!$A:$K,11,0)</f>
        <v>#N/A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4"/>
      <c r="BA77" s="31"/>
      <c r="BB77" s="31"/>
    </row>
    <row r="78" spans="2:54" s="32" customFormat="1" ht="30" customHeight="1" outlineLevel="1" x14ac:dyDescent="0.35">
      <c r="B78" s="40" t="s">
        <v>293</v>
      </c>
      <c r="C78" s="49" t="s">
        <v>294</v>
      </c>
      <c r="D78" s="51" t="s">
        <v>22</v>
      </c>
      <c r="E78" s="51" t="s">
        <v>533</v>
      </c>
      <c r="F78" s="52" t="e">
        <f>VLOOKUP($B78,'Base dados'!$A:$K,10,0)</f>
        <v>#N/A</v>
      </c>
      <c r="G78" s="52" t="e">
        <f>VLOOKUP($B78,'Base dados'!$A:$K,11,0)</f>
        <v>#N/A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4"/>
      <c r="BA78" s="31"/>
      <c r="BB78" s="31"/>
    </row>
    <row r="79" spans="2:54" s="32" customFormat="1" ht="30" customHeight="1" outlineLevel="1" x14ac:dyDescent="0.35">
      <c r="B79" s="40" t="s">
        <v>361</v>
      </c>
      <c r="C79" s="49" t="s">
        <v>404</v>
      </c>
      <c r="D79" s="51" t="s">
        <v>22</v>
      </c>
      <c r="E79" s="51" t="s">
        <v>533</v>
      </c>
      <c r="F79" s="52" t="e">
        <f>VLOOKUP($B79,'Base dados'!$A:$K,10,0)</f>
        <v>#N/A</v>
      </c>
      <c r="G79" s="52" t="e">
        <f>VLOOKUP($B79,'Base dados'!$A:$K,11,0)</f>
        <v>#N/A</v>
      </c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4"/>
      <c r="BA79" s="31"/>
      <c r="BB79" s="31"/>
    </row>
    <row r="80" spans="2:54" s="32" customFormat="1" ht="30" customHeight="1" outlineLevel="1" x14ac:dyDescent="0.35">
      <c r="B80" s="40" t="s">
        <v>360</v>
      </c>
      <c r="C80" s="49" t="s">
        <v>534</v>
      </c>
      <c r="D80" s="51" t="s">
        <v>22</v>
      </c>
      <c r="E80" s="51" t="s">
        <v>533</v>
      </c>
      <c r="F80" s="52">
        <f>VLOOKUP($B80,'Base dados'!$A:$K,10,0)</f>
        <v>0</v>
      </c>
      <c r="G80" s="52">
        <f>VLOOKUP($B80,'Base dados'!$A:$K,11,0)</f>
        <v>0</v>
      </c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4"/>
      <c r="BA80" s="31"/>
      <c r="BB80" s="31"/>
    </row>
    <row r="81" spans="2:54" s="32" customFormat="1" ht="30" customHeight="1" outlineLevel="1" x14ac:dyDescent="0.35">
      <c r="B81" s="40" t="s">
        <v>356</v>
      </c>
      <c r="C81" s="49" t="s">
        <v>357</v>
      </c>
      <c r="D81" s="51" t="s">
        <v>22</v>
      </c>
      <c r="E81" s="51" t="s">
        <v>533</v>
      </c>
      <c r="F81" s="52">
        <f>VLOOKUP($B81,'Base dados'!$A:$K,10,0)</f>
        <v>0</v>
      </c>
      <c r="G81" s="52">
        <f>VLOOKUP($B81,'Base dados'!$A:$K,11,0)</f>
        <v>0</v>
      </c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4"/>
      <c r="BA81" s="31"/>
      <c r="BB81" s="31"/>
    </row>
    <row r="82" spans="2:54" s="32" customFormat="1" ht="30" customHeight="1" outlineLevel="1" x14ac:dyDescent="0.35">
      <c r="B82" s="40" t="s">
        <v>354</v>
      </c>
      <c r="C82" s="49" t="s">
        <v>355</v>
      </c>
      <c r="D82" s="51" t="s">
        <v>22</v>
      </c>
      <c r="E82" s="51" t="s">
        <v>533</v>
      </c>
      <c r="F82" s="52">
        <f>VLOOKUP($B82,'Base dados'!$A:$K,10,0)</f>
        <v>0</v>
      </c>
      <c r="G82" s="52">
        <f>VLOOKUP($B82,'Base dados'!$A:$K,11,0)</f>
        <v>0</v>
      </c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4"/>
      <c r="BA82" s="31"/>
      <c r="BB82" s="31"/>
    </row>
    <row r="83" spans="2:54" s="32" customFormat="1" ht="30" customHeight="1" outlineLevel="1" x14ac:dyDescent="0.35">
      <c r="B83" s="40" t="s">
        <v>480</v>
      </c>
      <c r="C83" s="49" t="s">
        <v>481</v>
      </c>
      <c r="D83" s="51" t="s">
        <v>489</v>
      </c>
      <c r="E83" s="51" t="s">
        <v>533</v>
      </c>
      <c r="F83" s="52">
        <f>VLOOKUP($B83,'Base dados'!$A:$K,10,0)</f>
        <v>0</v>
      </c>
      <c r="G83" s="52">
        <f>VLOOKUP($B83,'Base dados'!$A:$K,11,0)</f>
        <v>0</v>
      </c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4"/>
      <c r="BA83" s="31"/>
      <c r="BB83" s="31"/>
    </row>
    <row r="84" spans="2:54" s="32" customFormat="1" ht="30" customHeight="1" outlineLevel="1" x14ac:dyDescent="0.35">
      <c r="B84" s="40" t="s">
        <v>537</v>
      </c>
      <c r="C84" s="49" t="s">
        <v>538</v>
      </c>
      <c r="D84" s="51" t="s">
        <v>22</v>
      </c>
      <c r="E84" s="51" t="s">
        <v>533</v>
      </c>
      <c r="F84" s="52">
        <f>VLOOKUP($B84,'Base dados'!$A:$K,10,0)</f>
        <v>0</v>
      </c>
      <c r="G84" s="52">
        <f>VLOOKUP($B84,'Base dados'!$A:$K,11,0)</f>
        <v>0</v>
      </c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4"/>
      <c r="BA84" s="31"/>
      <c r="BB84" s="31"/>
    </row>
    <row r="85" spans="2:54" s="32" customFormat="1" ht="30" customHeight="1" outlineLevel="1" x14ac:dyDescent="0.35">
      <c r="B85" s="40" t="s">
        <v>541</v>
      </c>
      <c r="C85" s="49" t="s">
        <v>542</v>
      </c>
      <c r="D85" s="51" t="s">
        <v>13</v>
      </c>
      <c r="E85" s="51" t="s">
        <v>533</v>
      </c>
      <c r="F85" s="52">
        <f>VLOOKUP($B85,'Base dados'!$A:$K,10,0)</f>
        <v>0</v>
      </c>
      <c r="G85" s="52">
        <f>VLOOKUP($B85,'Base dados'!$A:$K,11,0)</f>
        <v>0</v>
      </c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4"/>
      <c r="BA85" s="31"/>
      <c r="BB85" s="31"/>
    </row>
    <row r="86" spans="2:54" s="32" customFormat="1" ht="30" customHeight="1" outlineLevel="1" x14ac:dyDescent="0.35">
      <c r="B86" s="40" t="s">
        <v>545</v>
      </c>
      <c r="C86" s="49" t="s">
        <v>546</v>
      </c>
      <c r="D86" s="51" t="s">
        <v>13</v>
      </c>
      <c r="E86" s="51" t="s">
        <v>533</v>
      </c>
      <c r="F86" s="52">
        <f>VLOOKUP($B86,'Base dados'!$A:$K,10,0)</f>
        <v>0</v>
      </c>
      <c r="G86" s="52">
        <f>VLOOKUP($B86,'Base dados'!$A:$K,11,0)</f>
        <v>0</v>
      </c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4"/>
      <c r="BA86" s="31"/>
      <c r="BB86" s="31"/>
    </row>
    <row r="87" spans="2:54" s="32" customFormat="1" ht="30" customHeight="1" outlineLevel="1" x14ac:dyDescent="0.35">
      <c r="B87" s="40" t="s">
        <v>555</v>
      </c>
      <c r="C87" s="49" t="s">
        <v>556</v>
      </c>
      <c r="D87" s="51" t="s">
        <v>13</v>
      </c>
      <c r="E87" s="51" t="s">
        <v>533</v>
      </c>
      <c r="F87" s="52">
        <f>VLOOKUP($B87,'Base dados'!$A:$K,10,0)</f>
        <v>0</v>
      </c>
      <c r="G87" s="52">
        <f>VLOOKUP($B87,'Base dados'!$A:$K,11,0)</f>
        <v>0</v>
      </c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4"/>
      <c r="BA87" s="31"/>
      <c r="BB87" s="31"/>
    </row>
    <row r="88" spans="2:54" s="32" customFormat="1" ht="30" customHeight="1" outlineLevel="1" x14ac:dyDescent="0.35">
      <c r="B88" s="40" t="s">
        <v>664</v>
      </c>
      <c r="C88" s="49" t="s">
        <v>665</v>
      </c>
      <c r="D88" s="51" t="s">
        <v>271</v>
      </c>
      <c r="E88" s="51" t="s">
        <v>533</v>
      </c>
      <c r="F88" s="52">
        <f>VLOOKUP($B88,'Base dados'!$A:$K,10,0)</f>
        <v>0</v>
      </c>
      <c r="G88" s="52">
        <f>VLOOKUP($B88,'Base dados'!$A:$K,11,0)</f>
        <v>0</v>
      </c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4"/>
      <c r="BA88" s="31"/>
      <c r="BB88" s="31"/>
    </row>
    <row r="89" spans="2:54" s="32" customFormat="1" ht="30" customHeight="1" outlineLevel="1" x14ac:dyDescent="0.35">
      <c r="B89" s="40" t="s">
        <v>678</v>
      </c>
      <c r="C89" s="49" t="s">
        <v>679</v>
      </c>
      <c r="D89" s="51" t="s">
        <v>5</v>
      </c>
      <c r="E89" s="51" t="s">
        <v>533</v>
      </c>
      <c r="F89" s="52">
        <f>VLOOKUP($B89,'Base dados'!$A:$K,10,0)</f>
        <v>0</v>
      </c>
      <c r="G89" s="52">
        <f>VLOOKUP($B89,'Base dados'!$A:$K,11,0)</f>
        <v>0</v>
      </c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4"/>
      <c r="BA89" s="31"/>
      <c r="BB89" s="31"/>
    </row>
    <row r="90" spans="2:54" s="32" customFormat="1" ht="30" customHeight="1" outlineLevel="1" thickBot="1" x14ac:dyDescent="0.4">
      <c r="B90" s="42" t="s">
        <v>697</v>
      </c>
      <c r="C90" s="55" t="s">
        <v>698</v>
      </c>
      <c r="D90" s="57" t="s">
        <v>5</v>
      </c>
      <c r="E90" s="57" t="s">
        <v>533</v>
      </c>
      <c r="F90" s="56">
        <f>VLOOKUP($B90,'Base dados'!$A:$K,10,0)</f>
        <v>0</v>
      </c>
      <c r="G90" s="56">
        <f>VLOOKUP($B90,'Base dados'!$A:$K,11,0)</f>
        <v>0</v>
      </c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9"/>
      <c r="BA90" s="31"/>
      <c r="BB90" s="31"/>
    </row>
  </sheetData>
  <autoFilter ref="B4:BB90" xr:uid="{EDF34611-1709-4297-A359-0D1D15EB77BD}">
    <sortState xmlns:xlrd2="http://schemas.microsoft.com/office/spreadsheetml/2017/richdata2" ref="B5:BB76">
      <sortCondition ref="C4:C90"/>
    </sortState>
  </autoFilter>
  <mergeCells count="3">
    <mergeCell ref="B1:G1"/>
    <mergeCell ref="B2:B3"/>
    <mergeCell ref="C2:C3"/>
  </mergeCells>
  <conditionalFormatting sqref="E5:E90">
    <cfRule type="cellIs" dxfId="14" priority="3" operator="equal">
      <formula>"EM REPLANEJAMENTO"</formula>
    </cfRule>
    <cfRule type="cellIs" dxfId="13" priority="6" operator="equal">
      <formula>"INICIO ATRASADO"</formula>
    </cfRule>
    <cfRule type="cellIs" dxfId="12" priority="7" operator="equal">
      <formula>"INICIO CURTO PRAZO"</formula>
    </cfRule>
    <cfRule type="cellIs" dxfId="11" priority="8" operator="equal">
      <formula>"INICIO MEDIO PRAZO"</formula>
    </cfRule>
    <cfRule type="cellIs" dxfId="10" priority="9" operator="equal">
      <formula>"EM ANDAMENTO"</formula>
    </cfRule>
    <cfRule type="cellIs" dxfId="9" priority="10" operator="equal">
      <formula>"STAND BY"</formula>
    </cfRule>
  </conditionalFormatting>
  <conditionalFormatting sqref="G5:G90">
    <cfRule type="cellIs" dxfId="8" priority="1" operator="lessThan">
      <formula>$BA$1</formula>
    </cfRule>
  </conditionalFormatting>
  <conditionalFormatting sqref="H50:H61 H63:AZ90">
    <cfRule type="cellIs" dxfId="7" priority="5" operator="greaterThan">
      <formula>0</formula>
    </cfRule>
  </conditionalFormatting>
  <conditionalFormatting sqref="H4:AZ4">
    <cfRule type="cellIs" dxfId="6" priority="15" operator="greaterThan">
      <formula>0</formula>
    </cfRule>
  </conditionalFormatting>
  <conditionalFormatting sqref="H5:AZ32 H34:AZ48 I50:AZ52">
    <cfRule type="expression" dxfId="5" priority="4">
      <formula>AND(H$3&gt;=$F5,H$3&lt;=$G5)</formula>
    </cfRule>
  </conditionalFormatting>
  <conditionalFormatting sqref="H33:AZ33">
    <cfRule type="cellIs" dxfId="4" priority="2" operator="greaterThan">
      <formula>0</formula>
    </cfRule>
  </conditionalFormatting>
  <conditionalFormatting sqref="H49:AZ49">
    <cfRule type="cellIs" dxfId="3" priority="12" operator="greaterThan">
      <formula>0</formula>
    </cfRule>
  </conditionalFormatting>
  <conditionalFormatting sqref="H53:AZ53">
    <cfRule type="cellIs" dxfId="2" priority="13" operator="greaterThan">
      <formula>0</formula>
    </cfRule>
  </conditionalFormatting>
  <conditionalFormatting sqref="H62:AZ62">
    <cfRule type="cellIs" dxfId="1" priority="14" operator="greaterThan">
      <formula>0</formula>
    </cfRule>
  </conditionalFormatting>
  <conditionalFormatting sqref="I54:AZ61">
    <cfRule type="cellIs" dxfId="0" priority="16" operator="greaterThan">
      <formula>0</formula>
    </cfRule>
  </conditionalFormatting>
  <printOptions horizontalCentered="1"/>
  <pageMargins left="3.937007874015748E-2" right="3.937007874015748E-2" top="0.15748031496062992" bottom="0.15748031496062992" header="0.31496062992125984" footer="0.31496062992125984"/>
  <pageSetup paperSize="8" scale="28" orientation="landscape" r:id="rId1"/>
  <headerFooter alignWithMargins="0">
    <oddFooter>&amp;L_x000D_&amp;1#&amp;"Trebuchet MS"&amp;9&amp;K008542 INTERNA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B4E6A-E2F1-4D6B-B732-9EE478222D8B}">
  <dimension ref="A1:AI156"/>
  <sheetViews>
    <sheetView zoomScale="70" zoomScaleNormal="70" workbookViewId="0">
      <selection activeCell="B16" sqref="B16:F18"/>
    </sheetView>
  </sheetViews>
  <sheetFormatPr defaultRowHeight="14.5" x14ac:dyDescent="0.35"/>
  <cols>
    <col min="1" max="1" width="8.7265625" style="5"/>
    <col min="2" max="2" width="11.1796875" style="65" customWidth="1"/>
    <col min="3" max="3" width="18" style="5" customWidth="1"/>
    <col min="4" max="4" width="17.6328125" style="5" customWidth="1"/>
    <col min="5" max="5" width="16" style="5" bestFit="1" customWidth="1"/>
    <col min="6" max="6" width="16.36328125" style="5" bestFit="1" customWidth="1"/>
    <col min="7" max="7" width="8.7265625" style="5"/>
    <col min="8" max="8" width="14.90625" style="5" bestFit="1" customWidth="1"/>
    <col min="9" max="9" width="75" style="5" bestFit="1" customWidth="1"/>
    <col min="10" max="10" width="18.81640625" style="5" bestFit="1" customWidth="1"/>
    <col min="11" max="11" width="20.08984375" style="81" bestFit="1" customWidth="1"/>
    <col min="12" max="12" width="15.81640625" style="81" customWidth="1"/>
    <col min="13" max="13" width="15.81640625" style="5" bestFit="1" customWidth="1"/>
    <col min="14" max="15" width="17.08984375" style="5" customWidth="1"/>
    <col min="16" max="16" width="25.6328125" style="5" bestFit="1" customWidth="1"/>
    <col min="17" max="17" width="19.26953125" style="5" customWidth="1"/>
    <col min="18" max="18" width="16.26953125" style="5" bestFit="1" customWidth="1"/>
    <col min="19" max="19" width="11.6328125" style="5" bestFit="1" customWidth="1"/>
    <col min="20" max="16384" width="8.7265625" style="5"/>
  </cols>
  <sheetData>
    <row r="1" spans="1:35" customFormat="1" ht="4.5" customHeight="1" x14ac:dyDescent="0.35">
      <c r="A1" s="5"/>
      <c r="B1" s="65"/>
      <c r="C1" s="5"/>
      <c r="D1" s="5"/>
      <c r="E1" s="5"/>
      <c r="F1" s="5"/>
      <c r="G1" s="5"/>
      <c r="H1" s="5"/>
      <c r="I1" s="5"/>
      <c r="J1" s="5"/>
      <c r="K1" s="81"/>
      <c r="L1" s="8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customFormat="1" ht="48.5" customHeight="1" x14ac:dyDescent="0.35">
      <c r="A2" s="80" t="s">
        <v>63</v>
      </c>
      <c r="B2" s="80"/>
      <c r="C2" s="80"/>
      <c r="D2" s="80"/>
      <c r="E2" s="80"/>
      <c r="F2" s="80"/>
      <c r="G2" s="80"/>
      <c r="H2" s="80"/>
      <c r="I2" s="80"/>
      <c r="J2" s="80"/>
      <c r="K2" s="79"/>
      <c r="L2" s="79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5"/>
      <c r="AC2" s="5"/>
      <c r="AD2" s="5"/>
      <c r="AE2" s="5"/>
      <c r="AF2" s="5"/>
      <c r="AG2" s="5"/>
      <c r="AH2" s="5"/>
      <c r="AI2" s="5"/>
    </row>
    <row r="4" spans="1:35" ht="18" customHeight="1" thickBot="1" x14ac:dyDescent="0.4">
      <c r="R4" s="14"/>
    </row>
    <row r="5" spans="1:35" ht="22" customHeight="1" thickTop="1" thickBot="1" x14ac:dyDescent="0.4">
      <c r="B5" s="68">
        <v>2025</v>
      </c>
      <c r="C5" s="69" t="s">
        <v>760</v>
      </c>
      <c r="D5" s="69" t="s">
        <v>533</v>
      </c>
      <c r="E5" s="69" t="s">
        <v>268</v>
      </c>
      <c r="F5" s="69" t="s">
        <v>532</v>
      </c>
      <c r="H5" s="72" t="s">
        <v>0</v>
      </c>
      <c r="I5" s="73" t="s">
        <v>517</v>
      </c>
      <c r="J5" s="73" t="s">
        <v>761</v>
      </c>
      <c r="K5" s="73" t="s">
        <v>762</v>
      </c>
      <c r="L5" s="73" t="s">
        <v>530</v>
      </c>
    </row>
    <row r="6" spans="1:35" s="10" customFormat="1" ht="22" customHeight="1" thickTop="1" x14ac:dyDescent="0.35">
      <c r="B6" s="71" t="s">
        <v>341</v>
      </c>
      <c r="C6" s="17">
        <v>733754.86907003215</v>
      </c>
      <c r="D6" s="17"/>
      <c r="E6" s="17">
        <f>SUM(C6:D6)</f>
        <v>733754.86907003215</v>
      </c>
      <c r="F6" s="17">
        <f>E6</f>
        <v>733754.86907003215</v>
      </c>
      <c r="H6" s="85" t="s">
        <v>547</v>
      </c>
      <c r="I6" s="74" t="s">
        <v>548</v>
      </c>
      <c r="J6" s="75">
        <v>7296261.8732782379</v>
      </c>
      <c r="K6" s="82">
        <f>J6</f>
        <v>7296261.8732782379</v>
      </c>
      <c r="L6" s="84">
        <f t="shared" ref="L6:L17" si="0">K6/$J$22</f>
        <v>0.15139161173441698</v>
      </c>
      <c r="Q6" s="5"/>
      <c r="R6" s="14"/>
      <c r="S6" s="5"/>
      <c r="T6" s="5"/>
      <c r="U6" s="5"/>
    </row>
    <row r="7" spans="1:35" s="10" customFormat="1" ht="22" customHeight="1" x14ac:dyDescent="0.35">
      <c r="B7" s="71" t="s">
        <v>342</v>
      </c>
      <c r="C7" s="17">
        <v>2230893.7044927813</v>
      </c>
      <c r="D7" s="17"/>
      <c r="E7" s="17">
        <f t="shared" ref="E7:E12" si="1">SUM(C7:D7)</f>
        <v>2230893.7044927813</v>
      </c>
      <c r="F7" s="17">
        <f>F6+E7</f>
        <v>2964648.5735628135</v>
      </c>
      <c r="H7" s="86" t="s">
        <v>549</v>
      </c>
      <c r="I7" s="76" t="s">
        <v>550</v>
      </c>
      <c r="J7" s="77">
        <v>5251157.1790633602</v>
      </c>
      <c r="K7" s="83">
        <f>K6+J7</f>
        <v>12547419.052341599</v>
      </c>
      <c r="L7" s="87">
        <f t="shared" si="0"/>
        <v>0.26034893297869527</v>
      </c>
      <c r="Q7" s="5"/>
      <c r="R7" s="5"/>
      <c r="S7" s="5"/>
      <c r="T7" s="5"/>
      <c r="U7" s="5"/>
    </row>
    <row r="8" spans="1:35" s="10" customFormat="1" ht="22" customHeight="1" x14ac:dyDescent="0.35">
      <c r="B8" s="71" t="s">
        <v>343</v>
      </c>
      <c r="C8" s="17">
        <v>2433386.6490341914</v>
      </c>
      <c r="D8" s="17"/>
      <c r="E8" s="17">
        <f t="shared" si="1"/>
        <v>2433386.6490341914</v>
      </c>
      <c r="F8" s="17">
        <f t="shared" ref="F8:F15" si="2">F7+E8</f>
        <v>5398035.2225970048</v>
      </c>
      <c r="H8" s="86" t="s">
        <v>545</v>
      </c>
      <c r="I8" s="76" t="s">
        <v>546</v>
      </c>
      <c r="J8" s="77">
        <v>3219796.9925417085</v>
      </c>
      <c r="K8" s="83">
        <f t="shared" ref="K8:K17" si="3">K7+J8</f>
        <v>15767216.044883307</v>
      </c>
      <c r="L8" s="87">
        <f t="shared" si="0"/>
        <v>0.32715715129988127</v>
      </c>
      <c r="Q8" s="5"/>
      <c r="R8" s="14"/>
      <c r="S8" s="5"/>
      <c r="T8" s="5"/>
      <c r="U8" s="5"/>
    </row>
    <row r="9" spans="1:35" s="10" customFormat="1" ht="22" customHeight="1" x14ac:dyDescent="0.35">
      <c r="B9" s="71" t="s">
        <v>344</v>
      </c>
      <c r="C9" s="17">
        <v>4385798.7294369284</v>
      </c>
      <c r="D9" s="17"/>
      <c r="E9" s="17">
        <f t="shared" si="1"/>
        <v>4385798.7294369284</v>
      </c>
      <c r="F9" s="17">
        <f t="shared" si="2"/>
        <v>9783833.9520339333</v>
      </c>
      <c r="H9" s="86" t="s">
        <v>569</v>
      </c>
      <c r="I9" s="76" t="s">
        <v>570</v>
      </c>
      <c r="J9" s="77">
        <v>2820563.6914600548</v>
      </c>
      <c r="K9" s="83">
        <f t="shared" si="3"/>
        <v>18587779.736343361</v>
      </c>
      <c r="L9" s="87">
        <f t="shared" si="0"/>
        <v>0.38568159719642875</v>
      </c>
      <c r="Q9" s="5"/>
      <c r="R9" s="5"/>
      <c r="S9" s="5"/>
      <c r="T9" s="5"/>
      <c r="U9" s="5"/>
    </row>
    <row r="10" spans="1:35" s="10" customFormat="1" ht="22" customHeight="1" x14ac:dyDescent="0.35">
      <c r="B10" s="71" t="s">
        <v>345</v>
      </c>
      <c r="C10" s="17">
        <v>7576875.9936694512</v>
      </c>
      <c r="D10" s="17"/>
      <c r="E10" s="17">
        <f t="shared" si="1"/>
        <v>7576875.9936694512</v>
      </c>
      <c r="F10" s="17">
        <f t="shared" si="2"/>
        <v>17360709.945703384</v>
      </c>
      <c r="H10" s="86" t="s">
        <v>29</v>
      </c>
      <c r="I10" s="76" t="s">
        <v>30</v>
      </c>
      <c r="J10" s="77">
        <v>1658914.7792559564</v>
      </c>
      <c r="K10" s="83">
        <f t="shared" si="3"/>
        <v>20246694.515599318</v>
      </c>
      <c r="L10" s="87">
        <f t="shared" si="0"/>
        <v>0.42010275511585565</v>
      </c>
      <c r="Q10" s="5"/>
      <c r="R10" s="14"/>
      <c r="S10" s="5"/>
      <c r="T10" s="5"/>
      <c r="U10" s="5"/>
    </row>
    <row r="11" spans="1:35" s="10" customFormat="1" ht="22" customHeight="1" x14ac:dyDescent="0.35">
      <c r="B11" s="71" t="s">
        <v>346</v>
      </c>
      <c r="C11" s="17">
        <v>8969356.1169367768</v>
      </c>
      <c r="D11" s="17"/>
      <c r="E11" s="17">
        <f t="shared" si="1"/>
        <v>8969356.1169367768</v>
      </c>
      <c r="F11" s="17">
        <f t="shared" si="2"/>
        <v>26330066.06264016</v>
      </c>
      <c r="H11" s="86" t="s">
        <v>646</v>
      </c>
      <c r="I11" s="76" t="s">
        <v>647</v>
      </c>
      <c r="J11" s="77">
        <v>1565744.9476584024</v>
      </c>
      <c r="K11" s="83">
        <f t="shared" si="3"/>
        <v>21812439.463257719</v>
      </c>
      <c r="L11" s="87">
        <f t="shared" si="0"/>
        <v>0.45259071337557233</v>
      </c>
      <c r="Q11" s="5"/>
      <c r="R11" s="5"/>
      <c r="S11" s="5"/>
      <c r="T11" s="5"/>
      <c r="U11" s="5"/>
    </row>
    <row r="12" spans="1:35" s="10" customFormat="1" ht="22" customHeight="1" x14ac:dyDescent="0.35">
      <c r="B12" s="71" t="s">
        <v>347</v>
      </c>
      <c r="C12" s="17">
        <v>7293856.381134537</v>
      </c>
      <c r="D12" s="17"/>
      <c r="E12" s="17">
        <f t="shared" si="1"/>
        <v>7293856.381134537</v>
      </c>
      <c r="F12" s="17">
        <f t="shared" si="2"/>
        <v>33623922.4437747</v>
      </c>
      <c r="H12" s="86" t="s">
        <v>551</v>
      </c>
      <c r="I12" s="76" t="s">
        <v>552</v>
      </c>
      <c r="J12" s="77">
        <v>1382058.9752066117</v>
      </c>
      <c r="K12" s="83">
        <f t="shared" si="3"/>
        <v>23194498.438464329</v>
      </c>
      <c r="L12" s="87">
        <f t="shared" si="0"/>
        <v>0.4812673342812494</v>
      </c>
      <c r="Q12" s="5"/>
      <c r="R12" s="14"/>
      <c r="S12" s="5"/>
      <c r="T12" s="5"/>
      <c r="U12" s="5"/>
    </row>
    <row r="13" spans="1:35" s="10" customFormat="1" ht="22" customHeight="1" x14ac:dyDescent="0.35">
      <c r="B13" s="71" t="s">
        <v>373</v>
      </c>
      <c r="C13" s="17">
        <v>10796476.523413625</v>
      </c>
      <c r="D13" s="17">
        <v>711274.82120000001</v>
      </c>
      <c r="E13" s="17">
        <f>SUM(C13:D13)</f>
        <v>11507751.344613625</v>
      </c>
      <c r="F13" s="17">
        <f t="shared" si="2"/>
        <v>45131673.788388327</v>
      </c>
      <c r="H13" s="86" t="s">
        <v>27</v>
      </c>
      <c r="I13" s="76" t="s">
        <v>28</v>
      </c>
      <c r="J13" s="77">
        <v>1264392.71369787</v>
      </c>
      <c r="K13" s="83">
        <f t="shared" si="3"/>
        <v>24458891.152162198</v>
      </c>
      <c r="L13" s="87">
        <f t="shared" si="0"/>
        <v>0.50750247415376726</v>
      </c>
      <c r="Q13" s="5"/>
      <c r="R13" s="5"/>
      <c r="S13" s="5"/>
      <c r="T13" s="5"/>
      <c r="U13" s="5"/>
    </row>
    <row r="14" spans="1:35" s="10" customFormat="1" ht="22" customHeight="1" x14ac:dyDescent="0.35">
      <c r="B14" s="71" t="s">
        <v>460</v>
      </c>
      <c r="C14" s="26">
        <v>6366437.1284896117</v>
      </c>
      <c r="D14" s="17">
        <v>1618995.334</v>
      </c>
      <c r="E14" s="17">
        <f>SUM(C14:D14)</f>
        <v>7985432.4624896115</v>
      </c>
      <c r="F14" s="17">
        <f t="shared" si="2"/>
        <v>53117106.250877939</v>
      </c>
      <c r="H14" s="86" t="s">
        <v>567</v>
      </c>
      <c r="I14" s="76" t="s">
        <v>568</v>
      </c>
      <c r="J14" s="77">
        <v>1198055.5592286501</v>
      </c>
      <c r="K14" s="83">
        <f t="shared" si="3"/>
        <v>25656946.711390849</v>
      </c>
      <c r="L14" s="87">
        <f t="shared" si="0"/>
        <v>0.53236117100554448</v>
      </c>
      <c r="Q14" s="5"/>
      <c r="R14" s="14"/>
      <c r="S14" s="5"/>
      <c r="T14" s="5"/>
      <c r="U14" s="5"/>
    </row>
    <row r="15" spans="1:35" s="10" customFormat="1" ht="22" customHeight="1" x14ac:dyDescent="0.35">
      <c r="B15" s="71" t="s">
        <v>525</v>
      </c>
      <c r="C15" s="26">
        <v>9580955.5532031301</v>
      </c>
      <c r="D15" s="17">
        <v>1251326.74</v>
      </c>
      <c r="E15" s="17">
        <f>SUM(C15:D15)</f>
        <v>10832282.29320313</v>
      </c>
      <c r="F15" s="67">
        <f t="shared" si="2"/>
        <v>63949388.54408107</v>
      </c>
      <c r="H15" s="86" t="s">
        <v>668</v>
      </c>
      <c r="I15" s="76" t="s">
        <v>669</v>
      </c>
      <c r="J15" s="77">
        <v>1158558.4242424243</v>
      </c>
      <c r="K15" s="83">
        <f t="shared" si="3"/>
        <v>26815505.135633275</v>
      </c>
      <c r="L15" s="87">
        <f t="shared" si="0"/>
        <v>0.55640033382355081</v>
      </c>
      <c r="Q15" s="5"/>
      <c r="R15" s="5"/>
      <c r="S15" s="5"/>
      <c r="T15" s="5"/>
      <c r="U15" s="5"/>
    </row>
    <row r="16" spans="1:35" s="10" customFormat="1" ht="22" customHeight="1" x14ac:dyDescent="0.35">
      <c r="B16" s="68" t="s">
        <v>531</v>
      </c>
      <c r="C16" s="69" t="s">
        <v>760</v>
      </c>
      <c r="D16" s="69" t="s">
        <v>533</v>
      </c>
      <c r="E16" s="69" t="s">
        <v>268</v>
      </c>
      <c r="F16" s="99" t="s">
        <v>532</v>
      </c>
      <c r="H16" s="86" t="s">
        <v>559</v>
      </c>
      <c r="I16" s="76" t="s">
        <v>560</v>
      </c>
      <c r="J16" s="77">
        <v>1134057.7851239669</v>
      </c>
      <c r="K16" s="83">
        <f t="shared" si="3"/>
        <v>27949562.920757242</v>
      </c>
      <c r="L16" s="87">
        <f t="shared" si="0"/>
        <v>0.5799311279304159</v>
      </c>
      <c r="R16" s="18"/>
    </row>
    <row r="17" spans="2:18" s="10" customFormat="1" ht="22" customHeight="1" x14ac:dyDescent="0.35">
      <c r="B17" s="66">
        <v>2025</v>
      </c>
      <c r="C17" s="98">
        <f>SUM(C6:C15)</f>
        <v>60367791.64888107</v>
      </c>
      <c r="D17" s="98">
        <f>SUM(D6:D15)</f>
        <v>3581596.8952000001</v>
      </c>
      <c r="E17" s="98">
        <f>SUM(C17:D17)</f>
        <v>63949388.54408107</v>
      </c>
      <c r="F17" s="100">
        <f>E17</f>
        <v>63949388.54408107</v>
      </c>
      <c r="H17" s="86" t="s">
        <v>644</v>
      </c>
      <c r="I17" s="76" t="s">
        <v>645</v>
      </c>
      <c r="J17" s="77">
        <v>1035416.0991735538</v>
      </c>
      <c r="K17" s="97">
        <f t="shared" si="3"/>
        <v>28984979.019930795</v>
      </c>
      <c r="L17" s="87">
        <f t="shared" si="0"/>
        <v>0.60141518576607822</v>
      </c>
      <c r="R17" s="18"/>
    </row>
    <row r="18" spans="2:18" s="10" customFormat="1" ht="22" customHeight="1" x14ac:dyDescent="0.35">
      <c r="B18" s="66">
        <v>2026</v>
      </c>
      <c r="C18" s="98">
        <f>SUM(C19:C21)</f>
        <v>19606010.591442674</v>
      </c>
      <c r="D18" s="98">
        <f>SUM(D19:D21)</f>
        <v>394684.52</v>
      </c>
      <c r="E18" s="98">
        <f>SUM(C18:D18)</f>
        <v>20000695.111442674</v>
      </c>
      <c r="F18" s="100">
        <f>F17+E18</f>
        <v>83950083.655523747</v>
      </c>
      <c r="H18" s="86"/>
      <c r="I18" s="76"/>
      <c r="J18" s="77"/>
      <c r="K18" s="83"/>
      <c r="L18" s="87"/>
      <c r="R18" s="18"/>
    </row>
    <row r="19" spans="2:18" s="10" customFormat="1" ht="22" customHeight="1" x14ac:dyDescent="0.35">
      <c r="B19" s="71" t="s">
        <v>526</v>
      </c>
      <c r="C19" s="17">
        <v>6789699.1043869583</v>
      </c>
      <c r="D19" s="17">
        <v>249691.01</v>
      </c>
      <c r="E19" s="17">
        <f>SUM(C19:D19)</f>
        <v>7039390.1143869581</v>
      </c>
      <c r="F19" s="17">
        <f>F15+E19</f>
        <v>70988778.658468023</v>
      </c>
      <c r="H19" s="86"/>
      <c r="I19" s="76"/>
      <c r="J19" s="77"/>
      <c r="K19" s="83"/>
      <c r="L19" s="87"/>
    </row>
    <row r="20" spans="2:18" s="10" customFormat="1" ht="22" customHeight="1" thickBot="1" x14ac:dyDescent="0.4">
      <c r="B20" s="71" t="s">
        <v>527</v>
      </c>
      <c r="C20" s="17">
        <v>6083463.8064704454</v>
      </c>
      <c r="D20" s="17">
        <v>60502.94</v>
      </c>
      <c r="E20" s="17">
        <f t="shared" ref="E20:E21" si="4">SUM(C20:D20)</f>
        <v>6143966.7464704458</v>
      </c>
      <c r="F20" s="17">
        <f>F19+E20</f>
        <v>77132745.404938474</v>
      </c>
      <c r="H20" s="88"/>
      <c r="I20" s="89"/>
      <c r="J20" s="90"/>
      <c r="K20" s="91"/>
      <c r="L20" s="92"/>
      <c r="R20" s="18"/>
    </row>
    <row r="21" spans="2:18" s="10" customFormat="1" ht="22" customHeight="1" thickTop="1" thickBot="1" x14ac:dyDescent="0.4">
      <c r="B21" s="71" t="s">
        <v>341</v>
      </c>
      <c r="C21" s="17">
        <v>6732847.6805852698</v>
      </c>
      <c r="D21" s="17">
        <v>84490.57</v>
      </c>
      <c r="E21" s="17">
        <f t="shared" si="4"/>
        <v>6817338.2505852701</v>
      </c>
      <c r="F21" s="67">
        <f>F20+E21</f>
        <v>83950083.655523747</v>
      </c>
      <c r="H21" s="72"/>
      <c r="I21" s="73" t="s">
        <v>61</v>
      </c>
      <c r="J21" s="78">
        <f>SUM(J6:J20)</f>
        <v>28984979.019930795</v>
      </c>
      <c r="K21" s="78"/>
      <c r="L21" s="78"/>
    </row>
    <row r="22" spans="2:18" ht="22" customHeight="1" thickTop="1" thickBot="1" x14ac:dyDescent="0.4">
      <c r="B22" s="66"/>
      <c r="C22" s="10"/>
      <c r="D22" s="10"/>
      <c r="E22" s="10"/>
      <c r="H22" s="72"/>
      <c r="I22" s="73" t="s">
        <v>763</v>
      </c>
      <c r="J22" s="78">
        <v>48194624.455666088</v>
      </c>
      <c r="K22" s="93"/>
      <c r="L22" s="93"/>
    </row>
    <row r="23" spans="2:18" ht="22" customHeight="1" thickTop="1" x14ac:dyDescent="0.35">
      <c r="J23" s="26"/>
    </row>
    <row r="24" spans="2:18" ht="22" customHeight="1" x14ac:dyDescent="0.35"/>
    <row r="25" spans="2:18" ht="22" customHeight="1" x14ac:dyDescent="0.35">
      <c r="J25" s="26"/>
    </row>
    <row r="26" spans="2:18" ht="22" customHeight="1" x14ac:dyDescent="0.35">
      <c r="C26" s="70">
        <f>B17</f>
        <v>2025</v>
      </c>
      <c r="D26" s="70">
        <f>B18</f>
        <v>2026</v>
      </c>
    </row>
    <row r="27" spans="2:18" ht="22" customHeight="1" x14ac:dyDescent="0.35">
      <c r="B27" s="94" t="str">
        <f>C16</f>
        <v>SERVIÇOS</v>
      </c>
      <c r="C27" s="96">
        <f>C17</f>
        <v>60367791.64888107</v>
      </c>
      <c r="D27" s="96">
        <f>C18</f>
        <v>19606010.591442674</v>
      </c>
      <c r="J27"/>
      <c r="K27" s="16"/>
      <c r="L27" s="16"/>
    </row>
    <row r="28" spans="2:18" ht="22" customHeight="1" x14ac:dyDescent="0.35">
      <c r="B28" s="95" t="str">
        <f>D16</f>
        <v>MATERIAIS</v>
      </c>
      <c r="C28" s="96">
        <f>D17</f>
        <v>3581596.8952000001</v>
      </c>
      <c r="D28" s="96">
        <f>D18</f>
        <v>394684.52</v>
      </c>
      <c r="R28" s="5">
        <v>6083463.8064704454</v>
      </c>
    </row>
    <row r="29" spans="2:18" ht="22" customHeight="1" x14ac:dyDescent="0.35">
      <c r="B29" s="95" t="str">
        <f>E16</f>
        <v>TOTAL</v>
      </c>
      <c r="C29" s="96">
        <f>SUM(C27:C28)</f>
        <v>63949388.54408107</v>
      </c>
      <c r="D29" s="96">
        <f>SUM(D27:D28)</f>
        <v>20000695.111442674</v>
      </c>
    </row>
    <row r="30" spans="2:18" ht="22" customHeight="1" x14ac:dyDescent="0.35">
      <c r="B30" s="5"/>
      <c r="R30" s="5">
        <v>6732847.6805852698</v>
      </c>
    </row>
    <row r="31" spans="2:18" ht="22" customHeight="1" x14ac:dyDescent="0.35">
      <c r="B31" s="5"/>
    </row>
    <row r="32" spans="2:18" ht="22" customHeight="1" x14ac:dyDescent="0.35">
      <c r="B32" s="5"/>
    </row>
    <row r="33" spans="2:2" ht="22" customHeight="1" x14ac:dyDescent="0.35">
      <c r="B33" s="5"/>
    </row>
    <row r="34" spans="2:2" ht="22" customHeight="1" x14ac:dyDescent="0.35">
      <c r="B34" s="5"/>
    </row>
    <row r="35" spans="2:2" ht="22" customHeight="1" x14ac:dyDescent="0.35">
      <c r="B35" s="5"/>
    </row>
    <row r="36" spans="2:2" ht="22" customHeight="1" x14ac:dyDescent="0.35">
      <c r="B36" s="5"/>
    </row>
    <row r="37" spans="2:2" ht="22" customHeight="1" x14ac:dyDescent="0.35">
      <c r="B37" s="5"/>
    </row>
    <row r="38" spans="2:2" ht="22" customHeight="1" x14ac:dyDescent="0.35">
      <c r="B38" s="5"/>
    </row>
    <row r="39" spans="2:2" ht="22" customHeight="1" x14ac:dyDescent="0.35">
      <c r="B39" s="5"/>
    </row>
    <row r="40" spans="2:2" ht="22" customHeight="1" x14ac:dyDescent="0.35"/>
    <row r="41" spans="2:2" ht="22" customHeight="1" x14ac:dyDescent="0.35"/>
    <row r="42" spans="2:2" ht="22" customHeight="1" x14ac:dyDescent="0.35"/>
    <row r="43" spans="2:2" ht="22" customHeight="1" x14ac:dyDescent="0.35"/>
    <row r="44" spans="2:2" ht="22" customHeight="1" x14ac:dyDescent="0.35"/>
    <row r="45" spans="2:2" ht="22" customHeight="1" x14ac:dyDescent="0.35"/>
    <row r="46" spans="2:2" ht="22" customHeight="1" x14ac:dyDescent="0.35"/>
    <row r="47" spans="2:2" ht="22" customHeight="1" x14ac:dyDescent="0.35"/>
    <row r="48" spans="2:2" ht="22" customHeight="1" x14ac:dyDescent="0.35"/>
    <row r="49" ht="22" customHeight="1" x14ac:dyDescent="0.35"/>
    <row r="50" ht="22" customHeight="1" x14ac:dyDescent="0.35"/>
    <row r="51" ht="22" customHeight="1" x14ac:dyDescent="0.35"/>
    <row r="52" ht="22" customHeight="1" x14ac:dyDescent="0.35"/>
    <row r="53" ht="22" customHeight="1" x14ac:dyDescent="0.35"/>
    <row r="54" ht="22" customHeight="1" x14ac:dyDescent="0.35"/>
    <row r="55" ht="22" customHeight="1" x14ac:dyDescent="0.35"/>
    <row r="56" ht="22" customHeight="1" x14ac:dyDescent="0.35"/>
    <row r="57" ht="22" customHeight="1" x14ac:dyDescent="0.35"/>
    <row r="58" ht="22" customHeight="1" x14ac:dyDescent="0.35"/>
    <row r="59" ht="22" customHeight="1" x14ac:dyDescent="0.35"/>
    <row r="60" ht="22" customHeight="1" x14ac:dyDescent="0.35"/>
    <row r="61" ht="22" customHeight="1" x14ac:dyDescent="0.35"/>
    <row r="62" ht="22" customHeight="1" x14ac:dyDescent="0.35"/>
    <row r="63" ht="22" customHeight="1" x14ac:dyDescent="0.35"/>
    <row r="64" ht="22" customHeight="1" x14ac:dyDescent="0.35"/>
    <row r="65" ht="22" customHeight="1" x14ac:dyDescent="0.35"/>
    <row r="66" ht="22" customHeight="1" x14ac:dyDescent="0.35"/>
    <row r="67" ht="22" customHeight="1" x14ac:dyDescent="0.35"/>
    <row r="68" ht="22" customHeight="1" x14ac:dyDescent="0.35"/>
    <row r="69" ht="22" customHeight="1" x14ac:dyDescent="0.35"/>
    <row r="70" ht="22" customHeight="1" x14ac:dyDescent="0.35"/>
    <row r="71" ht="22" customHeight="1" x14ac:dyDescent="0.35"/>
    <row r="72" ht="22" customHeight="1" x14ac:dyDescent="0.35"/>
    <row r="73" ht="22" customHeight="1" x14ac:dyDescent="0.35"/>
    <row r="74" ht="22" customHeight="1" x14ac:dyDescent="0.35"/>
    <row r="75" ht="22" customHeight="1" x14ac:dyDescent="0.35"/>
    <row r="76" ht="22" customHeight="1" x14ac:dyDescent="0.35"/>
    <row r="77" ht="22" customHeight="1" x14ac:dyDescent="0.35"/>
    <row r="78" ht="22" customHeight="1" x14ac:dyDescent="0.35"/>
    <row r="79" ht="22" customHeight="1" x14ac:dyDescent="0.35"/>
    <row r="80" ht="22" customHeight="1" x14ac:dyDescent="0.35"/>
    <row r="81" ht="22" customHeight="1" x14ac:dyDescent="0.35"/>
    <row r="82" ht="22" customHeight="1" x14ac:dyDescent="0.35"/>
    <row r="83" ht="22" customHeight="1" x14ac:dyDescent="0.35"/>
    <row r="84" ht="22" customHeight="1" x14ac:dyDescent="0.35"/>
    <row r="85" ht="22" customHeight="1" x14ac:dyDescent="0.35"/>
    <row r="86" ht="22" customHeight="1" x14ac:dyDescent="0.35"/>
    <row r="87" ht="22" customHeight="1" x14ac:dyDescent="0.35"/>
    <row r="88" ht="22" customHeight="1" x14ac:dyDescent="0.35"/>
    <row r="89" ht="22" customHeight="1" x14ac:dyDescent="0.35"/>
    <row r="90" ht="22" customHeight="1" x14ac:dyDescent="0.35"/>
    <row r="91" ht="22" customHeight="1" x14ac:dyDescent="0.35"/>
    <row r="92" ht="22" customHeight="1" x14ac:dyDescent="0.35"/>
    <row r="93" ht="22" customHeight="1" x14ac:dyDescent="0.35"/>
    <row r="94" ht="22" customHeight="1" x14ac:dyDescent="0.35"/>
    <row r="95" ht="22" customHeight="1" x14ac:dyDescent="0.35"/>
    <row r="96" ht="22" customHeight="1" x14ac:dyDescent="0.35"/>
    <row r="97" ht="22" customHeight="1" x14ac:dyDescent="0.35"/>
    <row r="98" ht="22" customHeight="1" x14ac:dyDescent="0.35"/>
    <row r="99" ht="22" customHeight="1" x14ac:dyDescent="0.35"/>
    <row r="100" ht="22" customHeight="1" x14ac:dyDescent="0.35"/>
    <row r="101" ht="22" customHeight="1" x14ac:dyDescent="0.35"/>
    <row r="102" ht="22" customHeight="1" x14ac:dyDescent="0.35"/>
    <row r="103" ht="22" customHeight="1" x14ac:dyDescent="0.35"/>
    <row r="104" ht="22" customHeight="1" x14ac:dyDescent="0.35"/>
    <row r="105" ht="22" customHeight="1" x14ac:dyDescent="0.35"/>
    <row r="106" ht="22" customHeight="1" x14ac:dyDescent="0.35"/>
    <row r="107" ht="22" customHeight="1" x14ac:dyDescent="0.35"/>
    <row r="108" ht="22" customHeight="1" x14ac:dyDescent="0.35"/>
    <row r="109" ht="22" customHeight="1" x14ac:dyDescent="0.35"/>
    <row r="110" ht="22" customHeight="1" x14ac:dyDescent="0.35"/>
    <row r="111" ht="22" customHeight="1" x14ac:dyDescent="0.35"/>
    <row r="112" ht="22" customHeight="1" x14ac:dyDescent="0.35"/>
    <row r="113" ht="22" customHeight="1" x14ac:dyDescent="0.35"/>
    <row r="114" ht="22" customHeight="1" x14ac:dyDescent="0.35"/>
    <row r="115" ht="22" customHeight="1" x14ac:dyDescent="0.35"/>
    <row r="116" ht="22" customHeight="1" x14ac:dyDescent="0.35"/>
    <row r="117" ht="22" customHeight="1" x14ac:dyDescent="0.35"/>
    <row r="118" ht="22" customHeight="1" x14ac:dyDescent="0.35"/>
    <row r="119" ht="22" customHeight="1" x14ac:dyDescent="0.35"/>
    <row r="120" ht="22" customHeight="1" x14ac:dyDescent="0.35"/>
    <row r="121" ht="22" customHeight="1" x14ac:dyDescent="0.35"/>
    <row r="122" ht="22" customHeight="1" x14ac:dyDescent="0.35"/>
    <row r="123" ht="22" customHeight="1" x14ac:dyDescent="0.35"/>
    <row r="124" ht="22" customHeight="1" x14ac:dyDescent="0.35"/>
    <row r="125" ht="22" customHeight="1" x14ac:dyDescent="0.35"/>
    <row r="126" ht="22" customHeight="1" x14ac:dyDescent="0.35"/>
    <row r="127" ht="22" customHeight="1" x14ac:dyDescent="0.35"/>
    <row r="128" ht="22" customHeight="1" x14ac:dyDescent="0.35"/>
    <row r="129" ht="22" customHeight="1" x14ac:dyDescent="0.35"/>
    <row r="130" ht="22" customHeight="1" x14ac:dyDescent="0.35"/>
    <row r="131" ht="22" customHeight="1" x14ac:dyDescent="0.35"/>
    <row r="132" ht="22" customHeight="1" x14ac:dyDescent="0.35"/>
    <row r="133" ht="22" customHeight="1" x14ac:dyDescent="0.35"/>
    <row r="134" ht="22" customHeight="1" x14ac:dyDescent="0.35"/>
    <row r="135" ht="22" customHeight="1" x14ac:dyDescent="0.35"/>
    <row r="136" ht="22" customHeight="1" x14ac:dyDescent="0.35"/>
    <row r="137" ht="22" customHeight="1" x14ac:dyDescent="0.35"/>
    <row r="138" ht="22" customHeight="1" x14ac:dyDescent="0.35"/>
    <row r="139" ht="22" customHeight="1" x14ac:dyDescent="0.35"/>
    <row r="140" ht="22" customHeight="1" x14ac:dyDescent="0.35"/>
    <row r="141" ht="22" customHeight="1" x14ac:dyDescent="0.35"/>
    <row r="142" ht="22" customHeight="1" x14ac:dyDescent="0.35"/>
    <row r="143" ht="22" customHeight="1" x14ac:dyDescent="0.35"/>
    <row r="144" ht="22" customHeight="1" x14ac:dyDescent="0.35"/>
    <row r="145" ht="22" customHeight="1" x14ac:dyDescent="0.35"/>
    <row r="146" ht="22" customHeight="1" x14ac:dyDescent="0.35"/>
    <row r="147" ht="22" customHeight="1" x14ac:dyDescent="0.35"/>
    <row r="148" ht="22" customHeight="1" x14ac:dyDescent="0.35"/>
    <row r="149" ht="22" customHeight="1" x14ac:dyDescent="0.35"/>
    <row r="150" ht="22" customHeight="1" x14ac:dyDescent="0.35"/>
    <row r="151" ht="22" customHeight="1" x14ac:dyDescent="0.35"/>
    <row r="152" ht="22" customHeight="1" x14ac:dyDescent="0.35"/>
    <row r="153" ht="22" customHeight="1" x14ac:dyDescent="0.35"/>
    <row r="154" ht="22" customHeight="1" x14ac:dyDescent="0.35"/>
    <row r="155" ht="22" customHeight="1" x14ac:dyDescent="0.35"/>
    <row r="156" ht="22" customHeight="1" x14ac:dyDescent="0.35"/>
  </sheetData>
  <sortState xmlns:xlrd2="http://schemas.microsoft.com/office/spreadsheetml/2017/richdata2" ref="H6:J20">
    <sortCondition descending="1" ref="J6:J20"/>
  </sortState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Resumo Orçamento</vt:lpstr>
      <vt:lpstr>Resumo Andamento</vt:lpstr>
      <vt:lpstr>Base dados</vt:lpstr>
      <vt:lpstr>Time line </vt:lpstr>
      <vt:lpstr>SAMC</vt:lpstr>
      <vt:lpstr>Time line  (2)</vt:lpstr>
      <vt:lpstr>Dashboards</vt:lpstr>
      <vt:lpstr>'Time line '!Area_de_impressao</vt:lpstr>
      <vt:lpstr>'Time line  (2)'!Area_de_impressao</vt:lpstr>
      <vt:lpstr>'Time line '!Titulos_de_impressao</vt:lpstr>
      <vt:lpstr>'Time line  (2)'!Titulos_de_impressao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Fabiana Siqueira Pereira - PrestServ</dc:creator>
  <cp:lastModifiedBy>Fabiana Siqueira Pereira - PrestServ</cp:lastModifiedBy>
  <cp:lastPrinted>2026-04-20T14:01:17Z</cp:lastPrinted>
  <dcterms:created xsi:type="dcterms:W3CDTF">2025-07-19T10:48:34Z</dcterms:created>
  <dcterms:modified xsi:type="dcterms:W3CDTF">2026-06-16T16:21:39Z</dcterms:modified>
</cp:coreProperties>
</file>